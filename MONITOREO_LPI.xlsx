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Hoja 24" sheetId="2" r:id="rId6"/>
    <sheet state="visible" name="CORREOS MONITORES" sheetId="3" r:id="rId7"/>
    <sheet state="visible" name="PUBLICACIÓN EN AGENCIA" sheetId="4" r:id="rId8"/>
    <sheet state="visible" name="PUBLICADORES_X_DISTRITO" sheetId="5" r:id="rId9"/>
    <sheet state="visible" name="DATOS DE CONTACTO" sheetId="6" r:id="rId10"/>
    <sheet state="visible" name="Hoja 18" sheetId="7" r:id="rId11"/>
    <sheet state="visible" name="Hoja 20" sheetId="8" r:id="rId12"/>
  </sheets>
  <definedNames>
    <definedName hidden="1" localSheetId="3" name="_xlnm._FilterDatabase">'PUBLICACIÓN EN AGENCIA'!$A$1:$F$1</definedName>
    <definedName hidden="1" localSheetId="4" name="_xlnm._FilterDatabase">PUBLICADORES_X_DISTRITO!$A$1:$D$390</definedName>
    <definedName hidden="1" localSheetId="0" name="Z_DAB2FA5A_2330_4B2B_95CE_704D8C5EF3DB_.wvu.FilterData">CONSOLIDADO!$AD$1:$AD$498</definedName>
    <definedName hidden="1" localSheetId="0" name="Z_ECBBAA16_43BD_424C_842D_2A187E765D0E_.wvu.FilterData">CONSOLIDADO!$AB$1:$AB$498</definedName>
    <definedName hidden="1" localSheetId="0" name="Z_BB0DFADC_3183_4274_A04F_0642C22F1D38_.wvu.FilterData">CONSOLIDADO!$AA$1:$AG$498</definedName>
    <definedName hidden="1" localSheetId="0" name="Z_FF21AFF8_9B82_4578_9310_CDE6EBA51E08_.wvu.FilterData">CONSOLIDADO!$AD$1:$AD$498</definedName>
    <definedName hidden="1" localSheetId="0" name="Z_30E67381_51E8_402B_9DB8_61A0371BCD8C_.wvu.FilterData">CONSOLIDADO!$AB$1:$AB$498</definedName>
    <definedName hidden="1" localSheetId="0" name="Z_CA893DA8_5B0E_4972_8C00_4EC6B9C693A0_.wvu.FilterData">CONSOLIDADO!$A$1:$AT$499</definedName>
    <definedName hidden="1" localSheetId="0" name="Z_B378EFA6_7EA4_411C_869D_46C1304B65D9_.wvu.FilterData">CONSOLIDADO!$AD$1:$AD$498</definedName>
    <definedName hidden="1" localSheetId="0" name="Z_0F873B7A_6BD4_4702_BA68_B76B01E4BD4F_.wvu.FilterData">CONSOLIDADO!$AD$1:$AD$498</definedName>
  </definedNames>
  <calcPr/>
  <customWorkbookViews>
    <customWorkbookView activeSheetId="0" maximized="1" windowHeight="0" windowWidth="0" guid="{CA893DA8-5B0E-4972-8C00-4EC6B9C693A0}" name="ARI"/>
    <customWorkbookView activeSheetId="0" maximized="1" windowHeight="0" windowWidth="0" guid="{ECBBAA16-43BD-424C-842D-2A187E765D0E}" name="Filtro 4"/>
    <customWorkbookView activeSheetId="0" maximized="1" windowHeight="0" windowWidth="0" guid="{30E67381-51E8-402B-9DB8-61A0371BCD8C}" name="Filtro 5"/>
    <customWorkbookView activeSheetId="0" maximized="1" windowHeight="0" windowWidth="0" guid="{BB0DFADC-3183-4274-A04F-0642C22F1D38}" name="Filtro 6"/>
    <customWorkbookView activeSheetId="0" maximized="1" windowHeight="0" windowWidth="0" guid="{B378EFA6-7EA4-411C-869D-46C1304B65D9}" name="Filtro 7"/>
    <customWorkbookView activeSheetId="0" maximized="1" windowHeight="0" windowWidth="0" guid="{FF21AFF8-9B82-4578-9310-CDE6EBA51E08}" name="Filtro 1"/>
    <customWorkbookView activeSheetId="0" maximized="1" windowHeight="0" windowWidth="0" guid="{DAB2FA5A-2330-4B2B-95CE-704D8C5EF3DB}" name="Filtro 2"/>
    <customWorkbookView activeSheetId="0" maximized="1" windowHeight="0" windowWidth="0" guid="{0F873B7A-6BD4-4702-BA68-B76B01E4BD4F}" name="Filtro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tc={07c59771-37fc-49bc-a7a8-a1d1a6bd2552}</author>
    <author>tc={08f1c7dc-124f-4a67-b943-0f2cf1a4c788}</author>
    <author>tc={0d6a1376-5153-4ca6-8e0c-9ab917ef7888}</author>
    <author>tc={0e129886-f294-4683-a6c3-87162c0a8cd5}</author>
    <author>tc={14eb2b87-9661-405a-838d-cb112b3888ef}</author>
    <author>tc={15c05302-1b1d-4286-a352-8ae9f9764399}</author>
    <author>tc={1931f1ea-71f2-48ee-9270-51614bb54239}</author>
    <author>tc={1b76dea3-6159-4ffd-b9af-7b4d9c9e8544}</author>
    <author>tc={2ddd7e2e-edab-4419-8e4b-a35738df7408}</author>
    <author>tc={2fae3eb8-7585-41bf-b42b-cd671d15ffc7}</author>
    <author>tc={32d5c6b8-df27-4ce7-9d3c-19fbbb282b7b}</author>
    <author>tc={34953f52-5fce-4898-b6a0-1ad1fb3b05ee}</author>
    <author>tc={382edeed-1632-4d4b-a620-c1713761bd32}</author>
    <author>tc={3d4c3ead-b28a-4edb-8018-af8b424139ac}</author>
    <author>tc={445104cf-767d-4084-a163-91b10debde3c}</author>
    <author>tc={4a990ec1-dfd0-4a7c-8b08-e23a0a482fd8}</author>
    <author>tc={4c55ddb9-d238-41cb-83e9-e5780c58a3a1}</author>
    <author>tc={50215d91-8df9-4255-aac6-b92f88e13116}</author>
    <author>tc={5798de6e-eaa0-48c3-aa50-eb374d960e7a}</author>
    <author>tc={6f574208-3152-4595-a1e2-eed523336f4b}</author>
    <author>tc={707dc141-8b38-43bd-bc65-a8ac2e8cbefb}</author>
    <author>tc={75d14a69-8644-4972-a551-52db36f66306}</author>
    <author>tc={7eaca773-2167-4e13-81ac-1fa18bbe5a14}</author>
    <author>tc={8715455e-b687-4502-bdfe-90cb0c58b8bc}</author>
    <author>tc={88446e53-7a01-45bd-a21b-1b44298fb75c}</author>
    <author>tc={a52f636f-3058-4c5b-8449-29785320156f}</author>
    <author>tc={bd452a35-f914-4b93-9d9b-0f604c59f299}</author>
    <author>tc={c2672195-92f2-4356-a30f-16c5d5e89c11}</author>
    <author>tc={c7f4f2e4-ef7d-4cc0-82c3-a21d9f803eca}</author>
    <author>tc={d0837e90-1085-4c58-ac38-19e2b9e4968d}</author>
    <author>tc={d33ab201-c519-4386-8007-8b91b7237c0d}</author>
    <author>tc={d9b0f96d-fb58-4b8a-a37e-f6ada36dafbb}</author>
    <author>tc={e02b3a87-330b-471c-8d2c-fb184762f9d2}</author>
    <author>tc={e3675016-97e6-419e-9bfc-89306d5f48a9}</author>
    <author>tc={e514e42e-893f-4b5b-854a-147fc3dcd618}</author>
    <author>tc={e62ad4bb-056f-42c1-874c-f2911d893996}</author>
    <author>tc={ea07f5bf-e689-415b-911d-a6f8c65cee92}</author>
    <author>tc={f1a1b186-cdc5-49ed-b5ba-ee728e5e7695}</author>
  </authors>
  <commentList>
    <comment authorId="0" ref="Y137">
      <text>
        <t xml:space="preserve">Comisaría: Lejos del distrito. Enviar vía mesa de partes</t>
      </text>
    </comment>
    <comment authorId="0" ref="S138">
      <text>
        <t xml:space="preserve">dice que ese señor no ha autorizado a que recoja el kit de mi publicadora que mandó a un amigo a pesar de que fue con su carta poder.</t>
      </text>
    </comment>
    <comment authorId="0" ref="Y141">
      <text>
        <t xml:space="preserve">Comisaría: Lejos del distrito. Enviar vía mesa de partes</t>
      </text>
    </comment>
    <comment authorId="0" ref="Y142">
      <text>
        <t xml:space="preserve">Comisaría: Lejos del distrito. Enviar vía mesa de partes</t>
      </text>
    </comment>
    <comment authorId="0" ref="Y143">
      <text>
        <t xml:space="preserve">Comisaría: Lejos del distrito. Enviar vía mess de partes</t>
      </text>
    </comment>
    <comment authorId="0" ref="AA146">
      <text>
        <t xml:space="preserve">Se presentó día 2 (jueves)</t>
      </text>
    </comment>
    <comment authorId="0" ref="Y147">
      <text>
        <t xml:space="preserve">Comisaría: Lejos del distrito. Enviar vía mess de partes</t>
      </text>
    </comment>
    <comment authorId="0" ref="AA165">
      <text>
        <t xml:space="preserve">Vino día 1 y 2</t>
      </text>
    </comment>
    <comment authorId="0" ref="Y167">
      <text>
        <t xml:space="preserve">Catastro: Recogerá viernes 2pm
Defunción: Recogerá viernes 2pm</t>
      </text>
    </comment>
    <comment authorId="1" xr:uid="{07c59771-37fc-49bc-a7a8-a1d1a6bd2552}" ref="W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SEÑAL, SOLO PARA LLAMADAS MOVISTAR...
SE ESTA CONECTANDO AL WIFI DE LA MUNICIPALIDAD...
</t>
      </text>
    </comment>
    <comment authorId="2" xr:uid="{08f1c7dc-124f-4a67-b943-0f2cf1a4c788}" ref="AC3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PVF - EL ESTRECHO (PNP)
</t>
      </text>
    </comment>
    <comment authorId="3" xr:uid="{0d6a1376-5153-4ca6-8e0c-9ab917ef7888}" ref="AA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JNE INDICO AL PUBLICADOR QUE PEGUE TODO EL PADRON
</t>
      </text>
    </comment>
    <comment authorId="4" xr:uid="{0e129886-f294-4683-a6c3-87162c0a8cd5}" ref="M3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ESTÁ VOLVIENDO A IMPRIMIR, LA RUTA ES FUERA DE PRESUPUESTO
</t>
      </text>
    </comment>
    <comment authorId="5" xr:uid="{14eb2b87-9661-405a-838d-cb112b3888ef}" ref="G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Nora
</t>
      </text>
    </comment>
    <comment authorId="6" xr:uid="{15c05302-1b1d-4286-a352-8ae9f9764399}" ref="E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OJO: que no publiquen en agencia
</t>
      </text>
    </comment>
    <comment authorId="7" xr:uid="{1931f1ea-71f2-48ee-9270-51614bb54239}" ref="Y3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presenta a la Comisaría porque dice que está en un CP a tres horas del distrito.
</t>
      </text>
    </comment>
    <comment authorId="8" xr:uid="{1b76dea3-6159-4ffd-b9af-7b4d9c9e8544}" ref="E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NUEVO INGRESO DE USUARIO
</t>
      </text>
    </comment>
    <comment authorId="9" xr:uid="{2ddd7e2e-edab-4419-8e4b-a35738df7408}" ref="E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RECOJE EN AGENCIA AMBOS KITS Y SE ENCONTRARA CON SU COMPAÑERO EN EL DISTRITO
</t>
      </text>
    </comment>
    <comment authorId="10" xr:uid="{2fae3eb8-7585-41bf-b42b-cd671d15ffc7}" ref="AC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OFICINA DESCENTRALIZADA DE EDUCACIÓN RURAL (ODER) JEBREOS
</t>
      </text>
    </comment>
    <comment authorId="11" xr:uid="{32d5c6b8-df27-4ce7-9d3c-19fbbb282b7b}" ref="Y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distrito no hay comisaría, se entregara a la sub perfectura
</t>
      </text>
    </comment>
    <comment authorId="12" xr:uid="{34953f52-5fce-4898-b6a0-1ad1fb3b05ee}" ref="Y3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entrega a comisaría en físico porque es la CPNC de yurimaguas, que está a cinco horas del distrito.
</t>
      </text>
    </comment>
    <comment authorId="13" xr:uid="{382edeed-1632-4d4b-a620-c1713761bd32}" ref="Y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OFICIO DE COMISARIA SE PRESENTÓ AL JUEZ DE PAZ
</t>
      </text>
    </comment>
    <comment authorId="14" xr:uid="{3d4c3ead-b28a-4edb-8018-af8b424139ac}" ref="Y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OFICIO DE CATASTRO PRESENTARA MAÑANA, LA SECRETARIA ESTA ENFERMA Y LA MUNICIPALIDAD ESTA CERRADA
</t>
      </text>
    </comment>
    <comment authorId="15" xr:uid="{445104cf-767d-4084-a163-91b10debde3c}" ref="Y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CONFIRMO X MENSAJE, PERO AUN NO ENVIA SUS FOTOS, SOLO EL DE COMISARIA
</t>
      </text>
    </comment>
    <comment authorId="16" xr:uid="{4a990ec1-dfd0-4a7c-8b08-e23a0a482fd8}" ref="AF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HAN PUESTO LOS DNI EN EL ACTA. VA A LEVANTAR OTRA ACTA EN LA TARDE
</t>
      </text>
    </comment>
    <comment authorId="17" xr:uid="{4c55ddb9-d238-41cb-83e9-e5780c58a3a1}" ref="AC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CASA MATERNA S/N
</t>
      </text>
    </comment>
    <comment authorId="18" xr:uid="{50215d91-8df9-4255-aac6-b92f88e13116}" ref="AC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JUZGADO DE PAZ
</t>
      </text>
    </comment>
    <comment authorId="19" xr:uid="{5798de6e-eaa0-48c3-aa50-eb374d960e7a}" ref="U4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
</t>
      </text>
    </comment>
    <comment authorId="20" xr:uid="{6f574208-3152-4595-a1e2-eed523336f4b}" ref="W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COMISARÍA
</t>
      </text>
    </comment>
    <comment authorId="21" xr:uid="{707dc141-8b38-43bd-bc65-a8ac2e8cbefb}" ref="Y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VA A ENTREGAR LOS OTROS OFICIOS MALÑANA 22 /04/2026 TEMPRANO
- EL DE AUTORIDADES NO HAY A QUIEN LO PRESENTE, NO SE ENCUENTRA EL SUBPERFECTO EN EL DISTRITO
</t>
      </text>
    </comment>
    <comment authorId="22" xr:uid="{75d14a69-8644-4972-a551-52db36f66306}" ref="AC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BARBERÍA EL PADRINO
</t>
      </text>
    </comment>
    <comment authorId="23" xr:uid="{7eaca773-2167-4e13-81ac-1fa18bbe5a14}" ref="L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
</t>
      </text>
    </comment>
    <comment authorId="24" xr:uid="{8715455e-b687-4502-bdfe-90cb0c58b8bc}" ref="W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22 ENTREGA OFICIOS, LLEGO TARDE EL 21
</t>
      </text>
    </comment>
    <comment authorId="25" xr:uid="{88446e53-7a01-45bd-a21b-1b44298fb75c}" ref="AC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INSTITUTO CETPRO
</t>
      </text>
    </comment>
    <comment authorId="26" xr:uid="{a52f636f-3058-4c5b-8449-29785320156f}" ref="Y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entrego a la subperfectura
</t>
      </text>
    </comment>
    <comment authorId="27" xr:uid="{bd452a35-f914-4b93-9d9b-0f604c59f299}" ref="AC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FRONTIS HOSPEDAJE ALICE
</t>
      </text>
    </comment>
    <comment authorId="28" xr:uid="{c2672195-92f2-4356-a30f-16c5d5e89c11}" ref="AP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indicó que le pida acompañamiento policial a la comisaría y que comunique inmediatamente si el alcalde va con tono amenazante
</t>
      </text>
    </comment>
    <comment authorId="29" xr:uid="{c7f4f2e4-ef7d-4cc0-82c3-a21d9f803eca}" ref="X4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Hola
</t>
      </text>
    </comment>
    <comment authorId="30" xr:uid="{d0837e90-1085-4c58-ac38-19e2b9e4968d}" ref="AC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PVF - EL ESTRECHO (PNP)
</t>
      </text>
    </comment>
    <comment authorId="31" xr:uid="{d33ab201-c519-4386-8007-8b91b7237c0d}" ref="Y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entrega comisaría porque está dirigido a Yurimaguas, que está a varias horas río arriba del distrito.
</t>
      </text>
    </comment>
    <comment authorId="32" xr:uid="{d9b0f96d-fb58-4b8a-a37e-f6ada36dafbb}" ref="Y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EL ANIVERSARIO DEL DISTRITO 22/04 Y NO LE HAN RECEPCIONADO DOCUMENTOS
</t>
      </text>
    </comment>
    <comment authorId="33" xr:uid="{e02b3a87-330b-471c-8d2c-fb184762f9d2}" ref="Y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LAS FOTOS PENDIENTES DE ENVIO OFICIOS MUNI Y REGISTRO CIVIL
</t>
      </text>
    </comment>
    <comment authorId="34" xr:uid="{e3675016-97e6-419e-9bfc-89306d5f48a9}" ref="AC3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MULTIUSO
</t>
      </text>
    </comment>
    <comment authorId="35" xr:uid="{e514e42e-893f-4b5b-854a-147fc3dcd618}" ref="Y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entrego a la subperfectura
</t>
      </text>
    </comment>
    <comment authorId="36" xr:uid="{e62ad4bb-056f-42c1-874c-f2911d893996}" ref="AC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TAMBO C.N. SANTA MARIA DE CAHUAPANAS
</t>
      </text>
    </comment>
    <comment authorId="37" xr:uid="{ea07f5bf-e689-415b-911d-a6f8c65cee92}" ref="Y3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NINGUNO, PORQUE PUBLICA EN AGENCIA
</t>
      </text>
    </comment>
    <comment authorId="38" xr:uid="{f1a1b186-cdc5-49ed-b5ba-ee728e5e7695}" ref="Y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entregó el oficio de la comisaria a la sub perfectura.
</t>
      </text>
    </comment>
  </commentList>
</comments>
</file>

<file path=xl/sharedStrings.xml><?xml version="1.0" encoding="utf-8"?>
<sst xmlns="http://schemas.openxmlformats.org/spreadsheetml/2006/main" count="15031" uniqueCount="3251">
  <si>
    <t>DATOS DEL PUBLICADOR</t>
  </si>
  <si>
    <t>ADMINISTRATIVO</t>
  </si>
  <si>
    <t>SURVEY CTO</t>
  </si>
  <si>
    <t>ASPECTOS LOGISTICOS</t>
  </si>
  <si>
    <t>CAPACITACIONES</t>
  </si>
  <si>
    <t>PREVIO AL INICIO DE PUBLICACIÓN</t>
  </si>
  <si>
    <t>MONITOREO</t>
  </si>
  <si>
    <t>PUBLICACIÓN</t>
  </si>
  <si>
    <t>DATOS PARA COMPARAR CON EL SURVEY</t>
  </si>
  <si>
    <t>OTROS ASPECTOS</t>
  </si>
  <si>
    <t>INCIDENCIAS POR DÍA</t>
  </si>
  <si>
    <t>UBIGEO RENIEC</t>
  </si>
  <si>
    <t>DEPARTAMENTO</t>
  </si>
  <si>
    <t>PROVINCIA</t>
  </si>
  <si>
    <t>DISTRITO</t>
  </si>
  <si>
    <t>APELLIDOS Y NOMBRES</t>
  </si>
  <si>
    <t>DNI</t>
  </si>
  <si>
    <t>CELULAR</t>
  </si>
  <si>
    <t>OS</t>
  </si>
  <si>
    <t>TDR</t>
  </si>
  <si>
    <t>DESCRIPCIÓN</t>
  </si>
  <si>
    <t>USUARIOS</t>
  </si>
  <si>
    <t>¿Ya ingresaron a SurveyCTO con sus credenciales y han enviado por lo menos un formulario de prueba?</t>
  </si>
  <si>
    <t>PUNTO DE ENVÍO</t>
  </si>
  <si>
    <t>CONTACTO DE LA AGENCIA</t>
  </si>
  <si>
    <t>TELEFONO Y/O IP</t>
  </si>
  <si>
    <t>PRIORITARIOS</t>
  </si>
  <si>
    <t>LLEGO EL KIT A LA AGENCIA</t>
  </si>
  <si>
    <t>ESTIMADO DE DÍAS - AGENCIA AL DISTRITO</t>
  </si>
  <si>
    <t>EL PUBLICADOR YA CUENTA CON EL KIT</t>
  </si>
  <si>
    <t>OBSERVACIONES</t>
  </si>
  <si>
    <t>BANNER</t>
  </si>
  <si>
    <t>EN QUE CAPACITACIÓN PARTICIPARON</t>
  </si>
  <si>
    <t>FECHA DE ARRIBO AL DISTRITO</t>
  </si>
  <si>
    <t>DIRECCIÓN DE LA PUBLICACIÓN DE LPI</t>
  </si>
  <si>
    <t>ENTREGA DE OFICIOS</t>
  </si>
  <si>
    <t>PERSONA RESPONSABLE</t>
  </si>
  <si>
    <t>PRESENCIA DEL JNE</t>
  </si>
  <si>
    <t>¿SE REALIZÓ LA PUBLICACIÓN?</t>
  </si>
  <si>
    <t>LUGAR DE LA PUBLICACIÓN</t>
  </si>
  <si>
    <t>FECHA DE INICIO DE PUBLICACIÓN</t>
  </si>
  <si>
    <t>FECHA DE FIN DE PUBLICACIÓN</t>
  </si>
  <si>
    <t>ACTA DE APERTURA VALIDADA</t>
  </si>
  <si>
    <t>ACTA DE CIERRE VALIDADA</t>
  </si>
  <si>
    <t># DE CIUDADANOS QUE SE HAN ACERCADO A LA LPI (22/04)</t>
  </si>
  <si>
    <t># DE CIUDADANOS QUE SE HAN ACERCADO A LA LPI (23/04)</t>
  </si>
  <si>
    <t># DE CIUDADANOS QUE SE HAN ACERCADO A LA LPI (24/04)</t>
  </si>
  <si>
    <t># DE CIUDADANOS QUE SE HAN ACERCADO A LA LPI (25/04)</t>
  </si>
  <si>
    <t># DE CIUDADANOS QUE SE HAN ACERCADO A LA LPI (26/04)</t>
  </si>
  <si>
    <t># DE CIUDADANOS QUE SE HAN ACERCADO A LA LPI (27/04)</t>
  </si>
  <si>
    <t># DE ACTAS DE DEFUNCION (ENTREGADAS POR LA MUNICIPALIDAD)</t>
  </si>
  <si>
    <t>INCIDENCIAS PREVIAS</t>
  </si>
  <si>
    <t>INCIDENCIAS (22/04)</t>
  </si>
  <si>
    <t>INCIDENCIAS (23/04)</t>
  </si>
  <si>
    <t>INCIDENCIAS (24/04)</t>
  </si>
  <si>
    <t>INCIDENCIAS (25/04)</t>
  </si>
  <si>
    <t>INCIDENCIAS (26/04)</t>
  </si>
  <si>
    <t>010102</t>
  </si>
  <si>
    <t>AMAZONAS</t>
  </si>
  <si>
    <t>CHACHAPOYAS</t>
  </si>
  <si>
    <t>ASUNCION</t>
  </si>
  <si>
    <t>VASQUEZ DIAZ FRANK HESLER</t>
  </si>
  <si>
    <t>71784961</t>
  </si>
  <si>
    <t>927887135</t>
  </si>
  <si>
    <t>01033</t>
  </si>
  <si>
    <t>CONTRATADO</t>
  </si>
  <si>
    <t>pub1</t>
  </si>
  <si>
    <t>SI</t>
  </si>
  <si>
    <t>OR CHACHAPOYAS</t>
  </si>
  <si>
    <t>ASUNCIÓN CHUQUIPUL CHUQUIZUTA</t>
  </si>
  <si>
    <t>IP - 2464</t>
  </si>
  <si>
    <t xml:space="preserve">INICIO: Jr. Comercio frente a la Plaza Local Comunal s/n
FIN: </t>
  </si>
  <si>
    <t>TODOS</t>
  </si>
  <si>
    <t>CARLOS CORDOVA</t>
  </si>
  <si>
    <t>NO</t>
  </si>
  <si>
    <t>Local Comunal</t>
  </si>
  <si>
    <t>22/04/26</t>
  </si>
  <si>
    <t>010103</t>
  </si>
  <si>
    <t>BALSAS</t>
  </si>
  <si>
    <t>MONTES BARDALES ARNOLD ANTONIO</t>
  </si>
  <si>
    <t>71871514</t>
  </si>
  <si>
    <t>938611950</t>
  </si>
  <si>
    <t>2833</t>
  </si>
  <si>
    <t>01034</t>
  </si>
  <si>
    <t>pub2</t>
  </si>
  <si>
    <t xml:space="preserve">INICIO: Av. marañon 545
FIN: </t>
  </si>
  <si>
    <t>Centro de salud</t>
  </si>
  <si>
    <t>010105</t>
  </si>
  <si>
    <t>CHILIQUIN</t>
  </si>
  <si>
    <t>ZAVALETA LLATANCE MARISELLA</t>
  </si>
  <si>
    <t>77678933</t>
  </si>
  <si>
    <t>999412862</t>
  </si>
  <si>
    <t>2834</t>
  </si>
  <si>
    <t>01035</t>
  </si>
  <si>
    <t>pub3</t>
  </si>
  <si>
    <t xml:space="preserve">INICIO: Calle Vituya s/n (Comisaria)
FIN: </t>
  </si>
  <si>
    <t>Comisaría</t>
  </si>
  <si>
    <t>010106</t>
  </si>
  <si>
    <t>CHUQUIBAMBA</t>
  </si>
  <si>
    <t>CAJUSOL ZABALETA JOSE MIGUEL</t>
  </si>
  <si>
    <t>61124415</t>
  </si>
  <si>
    <t>908012683</t>
  </si>
  <si>
    <t>2835</t>
  </si>
  <si>
    <t>01036</t>
  </si>
  <si>
    <t>pub4</t>
  </si>
  <si>
    <t xml:space="preserve">INICIO: Jr. Prado s/n al lado del Centro de Salud
FIN: </t>
  </si>
  <si>
    <t>010403</t>
  </si>
  <si>
    <t>LUYA</t>
  </si>
  <si>
    <t>COCABAMBA</t>
  </si>
  <si>
    <t>CHAVEZ VIGO ELITA ESPERANZA</t>
  </si>
  <si>
    <t>42490911</t>
  </si>
  <si>
    <t>944907845
935597571</t>
  </si>
  <si>
    <t>2899</t>
  </si>
  <si>
    <t>01044</t>
  </si>
  <si>
    <t>pub5</t>
  </si>
  <si>
    <t xml:space="preserve">INICIO: Local Comunal Jr. Cementerio s/n
FIN: </t>
  </si>
  <si>
    <t>010404</t>
  </si>
  <si>
    <t>COLCAMAR</t>
  </si>
  <si>
    <t>CHICHIPE PUSCAN LOURDES MAGALY</t>
  </si>
  <si>
    <t>72856085</t>
  </si>
  <si>
    <t>921931365</t>
  </si>
  <si>
    <t>2853</t>
  </si>
  <si>
    <t>01058</t>
  </si>
  <si>
    <t>pub6</t>
  </si>
  <si>
    <t xml:space="preserve">INICIO:  Mercado Central Colcamar Ca. Ramon Castilla con jr. Bolivar s/n Mz. 18 Lt. 4
FIN: </t>
  </si>
  <si>
    <t>Mercado</t>
  </si>
  <si>
    <t>010405</t>
  </si>
  <si>
    <t>CONILA</t>
  </si>
  <si>
    <t>CHUQUIZUTA GONZALES LILY MARLYD</t>
  </si>
  <si>
    <t>46157010</t>
  </si>
  <si>
    <t>950621044</t>
  </si>
  <si>
    <t>2842</t>
  </si>
  <si>
    <t>01045</t>
  </si>
  <si>
    <t>pub7</t>
  </si>
  <si>
    <t xml:space="preserve">INICIO: I.E N° 18113 Divino Niño del Milagro - Cruce Jr. Bologneci con Alfonzo Ugarte
FIN: </t>
  </si>
  <si>
    <t>Colegio</t>
  </si>
  <si>
    <t>010603</t>
  </si>
  <si>
    <t>CONDORCANQUI</t>
  </si>
  <si>
    <t>EL CENEPA</t>
  </si>
  <si>
    <t>APIKAI HUITE LIZ KARINA</t>
  </si>
  <si>
    <t>76358457</t>
  </si>
  <si>
    <t>926001673</t>
  </si>
  <si>
    <t>2839</t>
  </si>
  <si>
    <t>01041</t>
  </si>
  <si>
    <t>pub8</t>
  </si>
  <si>
    <t>OR JAEN - PAP BAGUA</t>
  </si>
  <si>
    <t>DIANA ABANTO MEGO
LILY CAMPOS</t>
  </si>
  <si>
    <t>IP 2130
966679194</t>
  </si>
  <si>
    <t xml:space="preserve">INICIO: ORA. Centro de Salud Huampami (El Cenepa) Reniec
FIN: </t>
  </si>
  <si>
    <t>EN AGENCIA</t>
  </si>
  <si>
    <t>no hay comisaria</t>
  </si>
  <si>
    <t>YUBAU APIKAI MARIBEL</t>
  </si>
  <si>
    <t>48721381</t>
  </si>
  <si>
    <t>pub9</t>
  </si>
  <si>
    <t>-</t>
  </si>
  <si>
    <t>010206</t>
  </si>
  <si>
    <t>BAGUA</t>
  </si>
  <si>
    <t>IMAZA</t>
  </si>
  <si>
    <t>CHICLOTE ALCALDE ELIZABETH</t>
  </si>
  <si>
    <t>42248680</t>
  </si>
  <si>
    <t>921633062</t>
  </si>
  <si>
    <t>2850</t>
  </si>
  <si>
    <t>01055</t>
  </si>
  <si>
    <t>pub10</t>
  </si>
  <si>
    <t>OR JAEN - AG IMAZA</t>
  </si>
  <si>
    <t xml:space="preserve">INICIO: Jr. Junin s/n Centro de Salud de Chiriaco
FIN: </t>
  </si>
  <si>
    <t>Actas de defuncion pendientes del 985 al 2013</t>
  </si>
  <si>
    <t>010110</t>
  </si>
  <si>
    <t>LEIMEBAMBA</t>
  </si>
  <si>
    <t>BARDALES EPIQUIEN SUKER</t>
  </si>
  <si>
    <t>73766680</t>
  </si>
  <si>
    <t>902890018</t>
  </si>
  <si>
    <t>2849</t>
  </si>
  <si>
    <t>01054</t>
  </si>
  <si>
    <t>pub11</t>
  </si>
  <si>
    <t xml:space="preserve">INICIO: Centro de Salud Jr. Ayacucho s/n
FIN: </t>
  </si>
  <si>
    <t>010111</t>
  </si>
  <si>
    <t>LEVANTO</t>
  </si>
  <si>
    <t>VILCHEZ ZELADA ANGELIN LUWIDKA</t>
  </si>
  <si>
    <t>70864338</t>
  </si>
  <si>
    <t>973229466</t>
  </si>
  <si>
    <t>2851</t>
  </si>
  <si>
    <t>01056</t>
  </si>
  <si>
    <t>pub12</t>
  </si>
  <si>
    <t xml:space="preserve">INICIO: Local Comunal - Jr. Amazonas frente a la Plaza de Armas
FIN: </t>
  </si>
  <si>
    <t>010505</t>
  </si>
  <si>
    <t>RODRIGUEZ DE MENDOZA</t>
  </si>
  <si>
    <t>LIMABAMBA</t>
  </si>
  <si>
    <t>SANTILLAN INGA MERLY</t>
  </si>
  <si>
    <t>42958713</t>
  </si>
  <si>
    <t>926901922</t>
  </si>
  <si>
    <t>2845</t>
  </si>
  <si>
    <t>01049</t>
  </si>
  <si>
    <t>pub13</t>
  </si>
  <si>
    <t xml:space="preserve">INICIO: Jr. Santo Toribio 210 (Multipagos Yola) y Trans. Framel
FIN: </t>
  </si>
  <si>
    <t>Casa de ciudadano</t>
  </si>
  <si>
    <t>010601</t>
  </si>
  <si>
    <t>NIEVA</t>
  </si>
  <si>
    <t>DUPIS JEMPEKET OSCAR</t>
  </si>
  <si>
    <t>42716035</t>
  </si>
  <si>
    <t>KIT EN EL LUGAR</t>
  </si>
  <si>
    <t>CORREO ENVIADO</t>
  </si>
  <si>
    <t>pub14</t>
  </si>
  <si>
    <t>OR JAEN - PAP CONDORCANQUI</t>
  </si>
  <si>
    <t>se publicara en agencia</t>
  </si>
  <si>
    <t xml:space="preserve">INICIO: 
FIN: </t>
  </si>
  <si>
    <t>010412</t>
  </si>
  <si>
    <t>OCALLI</t>
  </si>
  <si>
    <t>PENDIENTE</t>
  </si>
  <si>
    <t>REENVIAR KIT</t>
  </si>
  <si>
    <t>pub15</t>
  </si>
  <si>
    <t>010413</t>
  </si>
  <si>
    <t>OCUMAL</t>
  </si>
  <si>
    <t>BUSTAMANTE ROJAS CLAUDIA FIORELA</t>
  </si>
  <si>
    <t>73758019</t>
  </si>
  <si>
    <t>964800285</t>
  </si>
  <si>
    <t>2844</t>
  </si>
  <si>
    <t>01047</t>
  </si>
  <si>
    <t>pub16</t>
  </si>
  <si>
    <t xml:space="preserve">INICIO: Frente a la Comisaria de Ocumal Carretera a Ocumal 
FIN: </t>
  </si>
  <si>
    <t>010116</t>
  </si>
  <si>
    <t>OLLEROS</t>
  </si>
  <si>
    <t>CABALLERO RUEDA VANESSA DEL ROCIO PILAR</t>
  </si>
  <si>
    <t>46405516</t>
  </si>
  <si>
    <t>PERSONAL DRE</t>
  </si>
  <si>
    <t>pub17</t>
  </si>
  <si>
    <t>DRE</t>
  </si>
  <si>
    <t xml:space="preserve">INICIO: Local Comunal de Olleros - Plaza s/n
FIN: </t>
  </si>
  <si>
    <t>010509</t>
  </si>
  <si>
    <t>OMIA</t>
  </si>
  <si>
    <t>LLAJA AGUILAR CRISTIAN</t>
  </si>
  <si>
    <t>72803458</t>
  </si>
  <si>
    <t>978275248</t>
  </si>
  <si>
    <t>2846</t>
  </si>
  <si>
    <t>01050</t>
  </si>
  <si>
    <t>pub18</t>
  </si>
  <si>
    <t xml:space="preserve">INICIO: Jr. Posic 150 frente a la Plaza
FIN: </t>
  </si>
  <si>
    <t>Comedor Parroquial</t>
  </si>
  <si>
    <t>010423</t>
  </si>
  <si>
    <t>PROVIDENCIA</t>
  </si>
  <si>
    <t>SALAZAR LOPEZ JOHANNES JAVIER</t>
  </si>
  <si>
    <t>73900015</t>
  </si>
  <si>
    <t>946569655</t>
  </si>
  <si>
    <t>2907</t>
  </si>
  <si>
    <t>01048</t>
  </si>
  <si>
    <t>pub19</t>
  </si>
  <si>
    <t xml:space="preserve">INICIO: Av. Glorioso Vega s/n
FIN: </t>
  </si>
  <si>
    <t>010602</t>
  </si>
  <si>
    <t>RIO SANTIAGO</t>
  </si>
  <si>
    <t>SHIJAP SUAMUT HERMILIA</t>
  </si>
  <si>
    <t>48153074</t>
  </si>
  <si>
    <t>918873440</t>
  </si>
  <si>
    <t>2841</t>
  </si>
  <si>
    <t>01043</t>
  </si>
  <si>
    <t>pub20</t>
  </si>
  <si>
    <t xml:space="preserve">INICIO: Ca. Noningo s/n Puerto Galilea
FIN: </t>
  </si>
  <si>
    <t>Comedor Popular</t>
  </si>
  <si>
    <t>Sin fluido electrico</t>
  </si>
  <si>
    <t>010119</t>
  </si>
  <si>
    <t>SAN ISIDRO DE MAINO</t>
  </si>
  <si>
    <t>MUÑOZ LOPEZ KEVIN ALEXIS</t>
  </si>
  <si>
    <t>71131833</t>
  </si>
  <si>
    <t>941376794</t>
  </si>
  <si>
    <t>2852</t>
  </si>
  <si>
    <t>01057</t>
  </si>
  <si>
    <t>pub21</t>
  </si>
  <si>
    <t xml:space="preserve">INICIO: Jr: Huamanchuco N°387  Subprefectura
FIN: </t>
  </si>
  <si>
    <t xml:space="preserve"> Subprefectura</t>
  </si>
  <si>
    <t>010309</t>
  </si>
  <si>
    <t>BONGARA</t>
  </si>
  <si>
    <t>SHIPASBAMBA</t>
  </si>
  <si>
    <t>BALDERA ROJAS ARIANA MARELLMITH</t>
  </si>
  <si>
    <t>72805050</t>
  </si>
  <si>
    <t>955484563</t>
  </si>
  <si>
    <t>2836</t>
  </si>
  <si>
    <t>01038</t>
  </si>
  <si>
    <t>pub22</t>
  </si>
  <si>
    <t>INICIO: Jr. Union 349 Barrio Santo Tomas - Casa del Juez de Paz
FIN:</t>
  </si>
  <si>
    <t>010511</t>
  </si>
  <si>
    <t>TOTORA</t>
  </si>
  <si>
    <t>MAS CHECAN MARLITA LLAQUELINE</t>
  </si>
  <si>
    <t>45953931</t>
  </si>
  <si>
    <t>941953002</t>
  </si>
  <si>
    <t>2855</t>
  </si>
  <si>
    <t>01051</t>
  </si>
  <si>
    <t>pub23</t>
  </si>
  <si>
    <t xml:space="preserve">INICIO: Jr. Carolina Portocarrero s/n Bodega los 3 Hermanitos
FIN: </t>
  </si>
  <si>
    <t>Bodega</t>
  </si>
  <si>
    <t>010310</t>
  </si>
  <si>
    <t>VALERA</t>
  </si>
  <si>
    <t>CULLAMPE CONTRERAS SUSAN ABIGAIL</t>
  </si>
  <si>
    <t>74449137</t>
  </si>
  <si>
    <t>997875132</t>
  </si>
  <si>
    <t>2837</t>
  </si>
  <si>
    <t>01039</t>
  </si>
  <si>
    <t>pub24</t>
  </si>
  <si>
    <t xml:space="preserve">INICIO: Comisaria Valera - Av. Gocta s/n Barrio Calvario
FIN: </t>
  </si>
  <si>
    <t>010512</t>
  </si>
  <si>
    <t>VISTA ALEGRE</t>
  </si>
  <si>
    <t>GUIOP FERNANDEZ ENRIQUE</t>
  </si>
  <si>
    <t>44232917</t>
  </si>
  <si>
    <t>937603527</t>
  </si>
  <si>
    <t>2847</t>
  </si>
  <si>
    <t>01052</t>
  </si>
  <si>
    <t>pub25</t>
  </si>
  <si>
    <t xml:space="preserve">INICIO: Plaza de Armas Vista Alegre - Local de Area de Conservacion Regional 
FIN: </t>
  </si>
  <si>
    <t>Plaza de armas</t>
  </si>
  <si>
    <t>010707</t>
  </si>
  <si>
    <t>UTCUBAMBA</t>
  </si>
  <si>
    <t>YAMON</t>
  </si>
  <si>
    <t>GAMONAL CALLE GEMMA LITA</t>
  </si>
  <si>
    <t>41443925</t>
  </si>
  <si>
    <t>904498153</t>
  </si>
  <si>
    <t>2848</t>
  </si>
  <si>
    <t>01053</t>
  </si>
  <si>
    <t>pub26</t>
  </si>
  <si>
    <t>OR JAEN</t>
  </si>
  <si>
    <t xml:space="preserve">INICIO: Comedor Popular Ca. 28 de Julio Mz. L Lt. 6
FIN: </t>
  </si>
  <si>
    <t>022001</t>
  </si>
  <si>
    <t>ANCASH</t>
  </si>
  <si>
    <t>OCROS</t>
  </si>
  <si>
    <t>ACAS</t>
  </si>
  <si>
    <t>ANCAJIMA FACUNDO ALEJANDRA MARIALUZ</t>
  </si>
  <si>
    <t>77141234</t>
  </si>
  <si>
    <t>902899744</t>
  </si>
  <si>
    <t>2752</t>
  </si>
  <si>
    <t>00878</t>
  </si>
  <si>
    <t>pub27</t>
  </si>
  <si>
    <t>OR BARRANCA</t>
  </si>
  <si>
    <t>ALIPIO JUAREZ COLAN</t>
  </si>
  <si>
    <t xml:space="preserve">INICIO: Local Comunal del CP Acas - Yamachupan - Ca. San Jose s/n
FIN: </t>
  </si>
  <si>
    <t>020603</t>
  </si>
  <si>
    <t>CORONGO</t>
  </si>
  <si>
    <t>BAMBAS</t>
  </si>
  <si>
    <t>NEYRA CORDOVA MAY BETH</t>
  </si>
  <si>
    <t>32980332</t>
  </si>
  <si>
    <t>943162929</t>
  </si>
  <si>
    <t>00819</t>
  </si>
  <si>
    <t>pub28</t>
  </si>
  <si>
    <t>OR SANTA</t>
  </si>
  <si>
    <t>YESSICA VILLALOBOS RIVASPLATA</t>
  </si>
  <si>
    <t>986937293 - IP 2509</t>
  </si>
  <si>
    <t xml:space="preserve">INICIO: Juzgado de Paz (Bambas) Ca. Lima s/n 20 mts Plaza de Armas
FIN: </t>
  </si>
  <si>
    <t>Juzgado de Paz</t>
  </si>
  <si>
    <t>021302</t>
  </si>
  <si>
    <t>SANTA</t>
  </si>
  <si>
    <t>CACERES DEL PERU</t>
  </si>
  <si>
    <t>CARRASCO HUAMAN AXEL ALFREDO</t>
  </si>
  <si>
    <t>72266879</t>
  </si>
  <si>
    <t>pub29</t>
  </si>
  <si>
    <t xml:space="preserve">INICIO: IE. 88050
FIN: </t>
  </si>
  <si>
    <t>RAFAYLE PAREDES MERLI ANAMELVA</t>
  </si>
  <si>
    <t>43099243</t>
  </si>
  <si>
    <t>pub30</t>
  </si>
  <si>
    <t>022002</t>
  </si>
  <si>
    <t>CAJAMARQUILLA</t>
  </si>
  <si>
    <t>JUAREZ COLAN ALIPIO</t>
  </si>
  <si>
    <t>09981973</t>
  </si>
  <si>
    <t>KIT EN AGENCIA</t>
  </si>
  <si>
    <t>pub31</t>
  </si>
  <si>
    <t>Publicacion en Agencia</t>
  </si>
  <si>
    <t>022003</t>
  </si>
  <si>
    <t>CARHUAPAMPA</t>
  </si>
  <si>
    <t>ORTIZ JOAQUIN LUIS ANGEL</t>
  </si>
  <si>
    <t>76192433</t>
  </si>
  <si>
    <t>pub32</t>
  </si>
  <si>
    <t xml:space="preserve">INICIO: Plaza central s/n
FIN: </t>
  </si>
  <si>
    <t>No llegaron las personas citadas a la apertura. Se aperturo tarde</t>
  </si>
  <si>
    <t>021210</t>
  </si>
  <si>
    <t>RECUAY</t>
  </si>
  <si>
    <t>CATAC</t>
  </si>
  <si>
    <t>CANO MARTINEZ CHRISTIAN ABEL</t>
  </si>
  <si>
    <t>76050587</t>
  </si>
  <si>
    <t>pub33</t>
  </si>
  <si>
    <t>AG HUARAZ</t>
  </si>
  <si>
    <t>ADSSON CALLUPE PRUDENCIO</t>
  </si>
  <si>
    <t>949799737 - IP 2520</t>
  </si>
  <si>
    <t xml:space="preserve">INICIO:  Avenida Suecia, Calle Solorzano Chavez S/N
FIN: </t>
  </si>
  <si>
    <t>REGISTRADOR CIVIL, CATASTRO, COMISARIA</t>
  </si>
  <si>
    <t>JAZMIN ESCALONA</t>
  </si>
  <si>
    <t>SEGURA NAVARRO MARINES DEL ROSARIO</t>
  </si>
  <si>
    <t>74938250</t>
  </si>
  <si>
    <t>957137456
966904914</t>
  </si>
  <si>
    <t>pub34</t>
  </si>
  <si>
    <t xml:space="preserve">INICIO: Avenida Suecia, Calle Solorzano Chavez S/N
FIN: </t>
  </si>
  <si>
    <t>021902</t>
  </si>
  <si>
    <t>HUARMEY</t>
  </si>
  <si>
    <t>COCHAPETI</t>
  </si>
  <si>
    <t>PEREZ SANCHEZ JHON MARKUS</t>
  </si>
  <si>
    <t>77133559</t>
  </si>
  <si>
    <t>957709860
986897876</t>
  </si>
  <si>
    <t>pub35</t>
  </si>
  <si>
    <t xml:space="preserve">INICIO:  Calle Santiago S/N
FIN: </t>
  </si>
  <si>
    <t>REGISTRADOR CIVIL, CATASTRO</t>
  </si>
  <si>
    <t>Desaparición de Banner institucional</t>
  </si>
  <si>
    <t>022004</t>
  </si>
  <si>
    <t>COCHAS</t>
  </si>
  <si>
    <t>BREÑA REYES FLORMILA</t>
  </si>
  <si>
    <t>47397040</t>
  </si>
  <si>
    <t>pub36</t>
  </si>
  <si>
    <t xml:space="preserve">INICIO: Calle Los Jardines Mz. F Lt. 3 Pueblo Nuevo Huanchay
FIN: </t>
  </si>
  <si>
    <t>020323</t>
  </si>
  <si>
    <t>BOLOGNESI</t>
  </si>
  <si>
    <t>COLQUIOC</t>
  </si>
  <si>
    <t>FACTOR MARTINEZ GERARDO MARCELO</t>
  </si>
  <si>
    <t>60739962</t>
  </si>
  <si>
    <t>pub37</t>
  </si>
  <si>
    <t xml:space="preserve">INICIO:  Calle Zambrano S/N
FIN: </t>
  </si>
  <si>
    <t>022005</t>
  </si>
  <si>
    <t>CONGAS</t>
  </si>
  <si>
    <t>BUTRÓN MATTA VERIOSKA KRISTELL</t>
  </si>
  <si>
    <t>71336046</t>
  </si>
  <si>
    <t>pub38</t>
  </si>
  <si>
    <t xml:space="preserve">INICIO: Jr. Plaza de Armas
FIN: </t>
  </si>
  <si>
    <t>020203</t>
  </si>
  <si>
    <t>AIJA</t>
  </si>
  <si>
    <t>CORIS</t>
  </si>
  <si>
    <t>FERNANDEZ CISNEROS YESSENIA LUISA</t>
  </si>
  <si>
    <t>71393538</t>
  </si>
  <si>
    <t>986 062 209</t>
  </si>
  <si>
    <t>pub39</t>
  </si>
  <si>
    <t xml:space="preserve">INICIO: Av, Progreso S/N- Coris
FIN: </t>
  </si>
  <si>
    <t>021202</t>
  </si>
  <si>
    <t>COTAPARACO</t>
  </si>
  <si>
    <t>QUISPE GOMEZ LOURDES ISAYDA</t>
  </si>
  <si>
    <t>70979766</t>
  </si>
  <si>
    <t>pub40</t>
  </si>
  <si>
    <t xml:space="preserve">INICIO: Jr. Ramon Zavala S/N
FIN: </t>
  </si>
  <si>
    <t>RONDAN SALDAÑA QUINCINIO</t>
  </si>
  <si>
    <t>43123320</t>
  </si>
  <si>
    <t>pub41</t>
  </si>
  <si>
    <t>020604</t>
  </si>
  <si>
    <t>CUSCA</t>
  </si>
  <si>
    <t>PAREDES FERNANDEZ STEPHANO ANDRE</t>
  </si>
  <si>
    <t>76734844</t>
  </si>
  <si>
    <t>pub42</t>
  </si>
  <si>
    <t xml:space="preserve">INICIO: Jiron Lima S/N
FIN: </t>
  </si>
  <si>
    <t>020904</t>
  </si>
  <si>
    <t>MARISCAL LUZURIAGA</t>
  </si>
  <si>
    <t>FIDEL OLIVAS ESCUDERO</t>
  </si>
  <si>
    <t>BELVEDER YUPANQUI ESTER MAGALY</t>
  </si>
  <si>
    <t>70839285</t>
  </si>
  <si>
    <t>pub43</t>
  </si>
  <si>
    <t xml:space="preserve">INICIO:  Carretera Principal Sanachgani - Piscobamba S/N
FIN: </t>
  </si>
  <si>
    <t>AYAUCA HUALLCCA SUSANA ISABEL</t>
  </si>
  <si>
    <t>74910361</t>
  </si>
  <si>
    <t>pub44</t>
  </si>
  <si>
    <t xml:space="preserve">INICIO: Carretera Principal Sanachgani - Piscobamba S/N
FIN: </t>
  </si>
  <si>
    <t>VALVERDE OCAÑA MARICIELA ALEJANDRINA</t>
  </si>
  <si>
    <t>70870111</t>
  </si>
  <si>
    <t>pub64</t>
  </si>
  <si>
    <t>020325</t>
  </si>
  <si>
    <t>HUALLANCA</t>
  </si>
  <si>
    <t>CALDAS BARRANTES RENZO ALEXIS</t>
  </si>
  <si>
    <t>72202866</t>
  </si>
  <si>
    <t>928074108 / 918679395 (WHASAPP)</t>
  </si>
  <si>
    <t>pub45</t>
  </si>
  <si>
    <t xml:space="preserve">INICIO: Jr 28 de Julio S/N
FIN: </t>
  </si>
  <si>
    <t>Otros</t>
  </si>
  <si>
    <t>LAGUNA ROQUE SANDRA YSABEL</t>
  </si>
  <si>
    <t>32942224</t>
  </si>
  <si>
    <t>pub46</t>
  </si>
  <si>
    <t>020105</t>
  </si>
  <si>
    <t>HUARAZ</t>
  </si>
  <si>
    <t>HUANCHAY</t>
  </si>
  <si>
    <t>HINOSTROZA VILLANUEVA DIANA ESTELA</t>
  </si>
  <si>
    <t>71625672</t>
  </si>
  <si>
    <t>pub47</t>
  </si>
  <si>
    <t xml:space="preserve">INICIO: Plaza de Armas Jr. Junin S/N
FIN: </t>
  </si>
  <si>
    <t>020311</t>
  </si>
  <si>
    <t>HUASTA</t>
  </si>
  <si>
    <t>VERA ENDO MILAGRITOS DEL ROSARIO</t>
  </si>
  <si>
    <t>07880942</t>
  </si>
  <si>
    <t>pub48</t>
  </si>
  <si>
    <t xml:space="preserve">INICIO: Jr. Grau S/N
FIN: </t>
  </si>
  <si>
    <t xml:space="preserve">Local vecinal </t>
  </si>
  <si>
    <t>020310</t>
  </si>
  <si>
    <t>HUAYLLACAYAN</t>
  </si>
  <si>
    <t>CANO HUAMAN VALERIA DEL ROSARIO</t>
  </si>
  <si>
    <t>70758803</t>
  </si>
  <si>
    <t>pub49</t>
  </si>
  <si>
    <t xml:space="preserve">INICIO: Jr Comercio S/N - Frontis de la Plaza de Huayllacayan
FIN: </t>
  </si>
  <si>
    <t>021006</t>
  </si>
  <si>
    <t>PALLASCA</t>
  </si>
  <si>
    <t>LACABAMBA</t>
  </si>
  <si>
    <t>NINAQUISPE VASQUEZ JORGE ABNER</t>
  </si>
  <si>
    <t>43956332</t>
  </si>
  <si>
    <t>pub50</t>
  </si>
  <si>
    <t xml:space="preserve">INICIO: Plaza de Armas S/N
FIN: </t>
  </si>
  <si>
    <t>021904</t>
  </si>
  <si>
    <t>MALVAS</t>
  </si>
  <si>
    <t>MELGAREJO YPARRAGUIRRE MARISOL DEL PILAR</t>
  </si>
  <si>
    <t>32955253</t>
  </si>
  <si>
    <t>pub51</t>
  </si>
  <si>
    <t xml:space="preserve">INICIO: Jiron Marañon S/N
FIN: </t>
  </si>
  <si>
    <t>22/04/2026</t>
  </si>
  <si>
    <t>020313</t>
  </si>
  <si>
    <t>MANGAS</t>
  </si>
  <si>
    <t>GARCIA CHAUCA ALEXANDRA ROSMERY</t>
  </si>
  <si>
    <t>70300550</t>
  </si>
  <si>
    <t>pub52</t>
  </si>
  <si>
    <t>INICIO:  Calle Luna Sanchez S/N
FIN: Calle Luna Sánchez S/N - Frente a la plaza de armas</t>
  </si>
  <si>
    <t>Publicación en local comunal, subprefecto candidato y participante de organización política</t>
  </si>
  <si>
    <t>TUESTA SANCHEZ GEAN PAUL ROBERTO</t>
  </si>
  <si>
    <t>71039967</t>
  </si>
  <si>
    <t>pub53</t>
  </si>
  <si>
    <t>INICIO: Calle Luna Sanchez S/N
FIN: Calle Luna Sánchez S/N - Frente a la plaza de armas</t>
  </si>
  <si>
    <t>022007</t>
  </si>
  <si>
    <t>VILELA RIVAS JOSÉ ANTONIO</t>
  </si>
  <si>
    <t>73487206</t>
  </si>
  <si>
    <t>pub54</t>
  </si>
  <si>
    <t xml:space="preserve">INICIO:  Plaza de Armas S/N
FIN: </t>
  </si>
  <si>
    <t>020315</t>
  </si>
  <si>
    <t>PACLLON</t>
  </si>
  <si>
    <t>REYES CONTRERAS RUDY DOMINGA</t>
  </si>
  <si>
    <t>32893804</t>
  </si>
  <si>
    <t>pub55</t>
  </si>
  <si>
    <t xml:space="preserve">INICIO: Jose Galvez S/N
FIN: </t>
  </si>
  <si>
    <t>021009</t>
  </si>
  <si>
    <t>PAMPAS</t>
  </si>
  <si>
    <t>TOOTH CASTILLO LIZETH PAMELA</t>
  </si>
  <si>
    <t>47157991</t>
  </si>
  <si>
    <t>pub56</t>
  </si>
  <si>
    <t xml:space="preserve">INICIO:  Jr. Plaza de Armas 508 - Pampas/Pallasca/Ancash
FIN: </t>
  </si>
  <si>
    <t>021206</t>
  </si>
  <si>
    <t>PARARIN</t>
  </si>
  <si>
    <t>BUIZA MENDOZA BRENDA YADHIRA</t>
  </si>
  <si>
    <t>71784146</t>
  </si>
  <si>
    <t>pub57</t>
  </si>
  <si>
    <t xml:space="preserve">INICIO: Av Ancash S/N
FIN: </t>
  </si>
  <si>
    <t>021409</t>
  </si>
  <si>
    <t>SIHUAS</t>
  </si>
  <si>
    <t>RAGASH</t>
  </si>
  <si>
    <t>GABRIEL VILCA EDUARDO DELFIN</t>
  </si>
  <si>
    <t>47642732</t>
  </si>
  <si>
    <t>pub58</t>
  </si>
  <si>
    <t xml:space="preserve">INICIO:  Jr. Armijo S/N
FIN: </t>
  </si>
  <si>
    <t>GONZALES GOMERO YOVANA EMPERATRIZ</t>
  </si>
  <si>
    <t>32968604</t>
  </si>
  <si>
    <t>pub59</t>
  </si>
  <si>
    <t xml:space="preserve">INICIO: Jr. Armijo S/N
FIN: </t>
  </si>
  <si>
    <t>020811</t>
  </si>
  <si>
    <t>HUARI</t>
  </si>
  <si>
    <t>RAHUAPAMPA</t>
  </si>
  <si>
    <t>HARO GUERRERO NANCY LUZMILA</t>
  </si>
  <si>
    <t>75763382</t>
  </si>
  <si>
    <t>995593648</t>
  </si>
  <si>
    <t>00811</t>
  </si>
  <si>
    <t>pub60</t>
  </si>
  <si>
    <t>AG HUARI</t>
  </si>
  <si>
    <t>VERENISSE RIVERA CARRANZA</t>
  </si>
  <si>
    <t>947006606 - IP 2560</t>
  </si>
  <si>
    <t xml:space="preserve">INICIO:  Plaza de Armas N°10
FIN: </t>
  </si>
  <si>
    <t>Iglesia</t>
  </si>
  <si>
    <t>Se hospedaron en un lugar con relación al alcalde</t>
  </si>
  <si>
    <t>MENDOZA SIFUENTES JULIA REYNA</t>
  </si>
  <si>
    <t>32889417</t>
  </si>
  <si>
    <t>pub61</t>
  </si>
  <si>
    <t xml:space="preserve">INICIO: Plaza de Armas N°10
FIN: </t>
  </si>
  <si>
    <t>021606</t>
  </si>
  <si>
    <t>ANTONIO RAIMONDI</t>
  </si>
  <si>
    <t>SAN JUAN DE RONTOY</t>
  </si>
  <si>
    <t>FLORES VALVERDE JEAN FRANCO</t>
  </si>
  <si>
    <t>75312164</t>
  </si>
  <si>
    <t>pub62</t>
  </si>
  <si>
    <t xml:space="preserve">INICIO: Av. Antonio Raymondi Frente a la plaza de San Juan de Rontoy S/N
FIN: </t>
  </si>
  <si>
    <t>022009</t>
  </si>
  <si>
    <t>SAN PEDRO</t>
  </si>
  <si>
    <t>NUÑEZ CHAUPIN ADRIAN MATHIAS</t>
  </si>
  <si>
    <t>61106344</t>
  </si>
  <si>
    <t>pub63</t>
  </si>
  <si>
    <t xml:space="preserve">INICIO: Jr. Castilla S/N - Plaza de Armas
FIN: </t>
  </si>
  <si>
    <t>030712</t>
  </si>
  <si>
    <t>APURIMAC</t>
  </si>
  <si>
    <t>CHINCHEROS</t>
  </si>
  <si>
    <t>AHUAYRO</t>
  </si>
  <si>
    <t>ERCE DE LA CRUZ CARLOS</t>
  </si>
  <si>
    <t>09831065</t>
  </si>
  <si>
    <t>pub65</t>
  </si>
  <si>
    <t>JR OR HUAMANGA</t>
  </si>
  <si>
    <t>JAIME CAHUANA</t>
  </si>
  <si>
    <t>IP 2713</t>
  </si>
  <si>
    <t xml:space="preserve">INICIO: Av. Los Inkas S/N  esquina con Av. Micaela Bastidas
FIN: </t>
  </si>
  <si>
    <t>030203</t>
  </si>
  <si>
    <t>AYMARAES</t>
  </si>
  <si>
    <t>CARAYBAMBA</t>
  </si>
  <si>
    <t>GRANADOS CUCCHI JANNO ELOY</t>
  </si>
  <si>
    <t>72486789</t>
  </si>
  <si>
    <t>pub66</t>
  </si>
  <si>
    <t>OR ABANCAY</t>
  </si>
  <si>
    <t>WILFREDO HUAMANÑAHUI SANCHEZ</t>
  </si>
  <si>
    <t>983694840 - IP 2935</t>
  </si>
  <si>
    <t>CHAMBI CHAMORRO GLORIA ESTEFANY</t>
  </si>
  <si>
    <t>70383655</t>
  </si>
  <si>
    <t>pub67</t>
  </si>
  <si>
    <t>030102</t>
  </si>
  <si>
    <t>ABANCAY</t>
  </si>
  <si>
    <t>CIRCA</t>
  </si>
  <si>
    <t>31038788</t>
  </si>
  <si>
    <t>CONFIRMACION FINAL</t>
  </si>
  <si>
    <t>pub68</t>
  </si>
  <si>
    <t>CATASTRO, REGISTRADOR CIVIL, COMISARIA</t>
  </si>
  <si>
    <t>ANA CLAUDIA ARANA</t>
  </si>
  <si>
    <t>030205</t>
  </si>
  <si>
    <t>COTARUSE</t>
  </si>
  <si>
    <t xml:space="preserve">GONZÁLEZ CRUZ HENRY ISAAC	
</t>
  </si>
  <si>
    <t>42413700</t>
  </si>
  <si>
    <t>pub69</t>
  </si>
  <si>
    <t>1. TRABAJO EN CAMPO</t>
  </si>
  <si>
    <t>030602</t>
  </si>
  <si>
    <t>GRAU</t>
  </si>
  <si>
    <t>CURPAHUASI</t>
  </si>
  <si>
    <t>SANCHEZ CALERO TATIANA JENNY</t>
  </si>
  <si>
    <t>44232616</t>
  </si>
  <si>
    <t>pub70</t>
  </si>
  <si>
    <t>030605</t>
  </si>
  <si>
    <t>GAMARRA</t>
  </si>
  <si>
    <t>JANAMPA YNTUSCA EDINSON</t>
  </si>
  <si>
    <t>73970144</t>
  </si>
  <si>
    <t>pub71</t>
  </si>
  <si>
    <t>Frontis de la Municipalidad</t>
  </si>
  <si>
    <t>030105</t>
  </si>
  <si>
    <t>HUANIPACA</t>
  </si>
  <si>
    <t>PUMA ROBLES CLARA MERCEDES</t>
  </si>
  <si>
    <t>40552233</t>
  </si>
  <si>
    <t>pub72</t>
  </si>
  <si>
    <t>030403</t>
  </si>
  <si>
    <t>ANTABAMBA</t>
  </si>
  <si>
    <t>HUAQUIRCA</t>
  </si>
  <si>
    <t>RICRA LANDA GABRIELA MERCEDES</t>
  </si>
  <si>
    <t>70544380</t>
  </si>
  <si>
    <t>pub73</t>
  </si>
  <si>
    <t>030404</t>
  </si>
  <si>
    <t>JUAN ESPINOZA MEDRANO</t>
  </si>
  <si>
    <t>CANDELA CASTRO KEVIN MANUEL</t>
  </si>
  <si>
    <t>77351079</t>
  </si>
  <si>
    <t>pub74</t>
  </si>
  <si>
    <t>030604</t>
  </si>
  <si>
    <t>MAMARA</t>
  </si>
  <si>
    <t>OSCCO ALARCÓN JHONY JEFFERSON</t>
  </si>
  <si>
    <t>71022013</t>
  </si>
  <si>
    <t>pub75</t>
  </si>
  <si>
    <t>030405</t>
  </si>
  <si>
    <t>OROPESA</t>
  </si>
  <si>
    <t>NUÑEZ CORRALES WALTER MARIANO</t>
  </si>
  <si>
    <t>45103729 </t>
  </si>
  <si>
    <t>pub76</t>
  </si>
  <si>
    <t>030406</t>
  </si>
  <si>
    <t>PACHACONAS</t>
  </si>
  <si>
    <t>CASTAÑEDA PARI KAREN SHEILA</t>
  </si>
  <si>
    <t>73531077</t>
  </si>
  <si>
    <t>pub77</t>
  </si>
  <si>
    <t>030308</t>
  </si>
  <si>
    <t>ANDAHUAYLAS</t>
  </si>
  <si>
    <t>PAMPACHIRI</t>
  </si>
  <si>
    <t>MALLMA CHOQUE MARILIA</t>
  </si>
  <si>
    <t>45066163</t>
  </si>
  <si>
    <t>pub78</t>
  </si>
  <si>
    <t>OR ANDAHUAYLAS</t>
  </si>
  <si>
    <t>MERY QUISPE HUANCACURI</t>
  </si>
  <si>
    <t>IP 2731</t>
  </si>
  <si>
    <t>030407</t>
  </si>
  <si>
    <t>SABAINO</t>
  </si>
  <si>
    <t>ZANABRIA RIVAS ALICIA</t>
  </si>
  <si>
    <t>44694594</t>
  </si>
  <si>
    <t>pub79</t>
  </si>
  <si>
    <t>CATASTRO, REGISTRADOR CIVIL</t>
  </si>
  <si>
    <t>030210</t>
  </si>
  <si>
    <t>SAÑAYCA</t>
  </si>
  <si>
    <t>GALINDO SIERRA SUMMY SCHERLY</t>
  </si>
  <si>
    <t>74450556</t>
  </si>
  <si>
    <t>pub80</t>
  </si>
  <si>
    <t>030612</t>
  </si>
  <si>
    <t>VIRUNDO</t>
  </si>
  <si>
    <t>SARAYASY SANTIAGO DAVID ABEL</t>
  </si>
  <si>
    <t>71928259</t>
  </si>
  <si>
    <t>pub81</t>
  </si>
  <si>
    <t xml:space="preserve">Recoge 21/4 </t>
  </si>
  <si>
    <t>040202</t>
  </si>
  <si>
    <t>AREQUIPA</t>
  </si>
  <si>
    <t>CAYLLOMA</t>
  </si>
  <si>
    <t>ACHOMA</t>
  </si>
  <si>
    <t>ALI CHOQUEHUANCA DUVERLY JUNNIOR</t>
  </si>
  <si>
    <t>76253451</t>
  </si>
  <si>
    <t>pub82</t>
  </si>
  <si>
    <t>JR OR AREQUIPA</t>
  </si>
  <si>
    <t>ZENAIDA VALERIANO RAMIREZ</t>
  </si>
  <si>
    <t>984034538 - IP 2814</t>
  </si>
  <si>
    <t>Debido a dificultades climatica, se rompió una hoja del padrón</t>
  </si>
  <si>
    <t>040502</t>
  </si>
  <si>
    <t>CASTILLA</t>
  </si>
  <si>
    <t>ANDAGUA</t>
  </si>
  <si>
    <t>LLANQUI CONDORI RAUL JESUS</t>
  </si>
  <si>
    <t>40389716</t>
  </si>
  <si>
    <t>pub83</t>
  </si>
  <si>
    <t>Debido a dificultades climaticas (intensa lluvia) se ha tenido que retirar el LPI y resguardar dentro de la municipalidad</t>
  </si>
  <si>
    <t>040404</t>
  </si>
  <si>
    <t>CARAVELI</t>
  </si>
  <si>
    <t>ATIQUIPA</t>
  </si>
  <si>
    <t>ALARCO ALVAREZ FABIOLA NINOSKA</t>
  </si>
  <si>
    <t>70270049</t>
  </si>
  <si>
    <t>pub84</t>
  </si>
  <si>
    <t>040203</t>
  </si>
  <si>
    <t>CABANACONDE</t>
  </si>
  <si>
    <t>APAZA ANCCO ANITA HERMELINDA</t>
  </si>
  <si>
    <t>29534560</t>
  </si>
  <si>
    <t>pub85</t>
  </si>
  <si>
    <t>040205</t>
  </si>
  <si>
    <t>CALLALLI</t>
  </si>
  <si>
    <t>QUISPE GONZALES YANET ELIZABETH</t>
  </si>
  <si>
    <t>76908198</t>
  </si>
  <si>
    <t>pub86</t>
  </si>
  <si>
    <t>Debido a dificultades climatologicas (lluvia intensa), el LPI se mojó un poco</t>
  </si>
  <si>
    <t>040204</t>
  </si>
  <si>
    <t>CRUZ HUAMANI JAKELIN ROSMERY</t>
  </si>
  <si>
    <t>74876094</t>
  </si>
  <si>
    <t>pub87</t>
  </si>
  <si>
    <t>Debido a dificultades climaticas (intensa lluvia) se ha tenido que retirar el LPI y resguardar dentro de la municipalidad / se mojó el LPI</t>
  </si>
  <si>
    <t>040504</t>
  </si>
  <si>
    <t>CHACHAS</t>
  </si>
  <si>
    <t>ARROYO TORRES PIERO FRANCHESCO</t>
  </si>
  <si>
    <t>71376593</t>
  </si>
  <si>
    <t>pub88</t>
  </si>
  <si>
    <t>No ingresa la señal</t>
  </si>
  <si>
    <t>040803</t>
  </si>
  <si>
    <t>LA UNION</t>
  </si>
  <si>
    <t>CHARCANA</t>
  </si>
  <si>
    <t>BAUTISTA HUAYLLINO FLOR NADDIA</t>
  </si>
  <si>
    <t>43711896</t>
  </si>
  <si>
    <t>pub89</t>
  </si>
  <si>
    <t>040604</t>
  </si>
  <si>
    <t>CONDESUYOS</t>
  </si>
  <si>
    <t>CHICHAS</t>
  </si>
  <si>
    <t>HUAMANI LLANLLAYA GLADYS KATHERIN</t>
  </si>
  <si>
    <t>71873783</t>
  </si>
  <si>
    <t>pub90</t>
  </si>
  <si>
    <t>040506</t>
  </si>
  <si>
    <t>CHOCO</t>
  </si>
  <si>
    <t>ROSAS MEDINA OZBEL ALONZO</t>
  </si>
  <si>
    <t>46141383</t>
  </si>
  <si>
    <t>pub91</t>
  </si>
  <si>
    <t>040208</t>
  </si>
  <si>
    <t>HUANCA</t>
  </si>
  <si>
    <t>ESQUIVEL LOZANO SONIA MERCEDES</t>
  </si>
  <si>
    <t>42201520</t>
  </si>
  <si>
    <t>pub92</t>
  </si>
  <si>
    <t>040409</t>
  </si>
  <si>
    <t>HUANUHUANU</t>
  </si>
  <si>
    <t>FERIA VIZCAYA LUIS FELIPE</t>
  </si>
  <si>
    <t>29676312</t>
  </si>
  <si>
    <t>pub93</t>
  </si>
  <si>
    <t>040804</t>
  </si>
  <si>
    <t>HUAYNACOTAS</t>
  </si>
  <si>
    <t>AIMITUMA CAHUANA KARINA</t>
  </si>
  <si>
    <t>73372022</t>
  </si>
  <si>
    <t>pub94</t>
  </si>
  <si>
    <t>No hay buena conexión para subir el acta de apertura a survey</t>
  </si>
  <si>
    <t>040209</t>
  </si>
  <si>
    <t>ICHUPAMPA</t>
  </si>
  <si>
    <t>MOROCCO SUPO HORTENCIA MILMA</t>
  </si>
  <si>
    <t>29417157</t>
  </si>
  <si>
    <t>pub95</t>
  </si>
  <si>
    <t>040410</t>
  </si>
  <si>
    <t>JAQUI</t>
  </si>
  <si>
    <t>RIVERA NUÑEZ SHERLEY LUCRECIA</t>
  </si>
  <si>
    <t>30835552</t>
  </si>
  <si>
    <t>pub96</t>
  </si>
  <si>
    <t>040210</t>
  </si>
  <si>
    <t>LARI</t>
  </si>
  <si>
    <t>HERRERA VELASQUEZ MARY NATHALY</t>
  </si>
  <si>
    <t>73816239</t>
  </si>
  <si>
    <t>pub97</t>
  </si>
  <si>
    <t>040211</t>
  </si>
  <si>
    <t>LLUTA</t>
  </si>
  <si>
    <t>PEÑA MACHACA ROXANA LOURDES</t>
  </si>
  <si>
    <t>29650059</t>
  </si>
  <si>
    <t>pub98</t>
  </si>
  <si>
    <t>040213</t>
  </si>
  <si>
    <t>MADRIGAL</t>
  </si>
  <si>
    <t>HANAMPA ASTO ASUNTA</t>
  </si>
  <si>
    <t>29673444</t>
  </si>
  <si>
    <t>pub99</t>
  </si>
  <si>
    <t>040305</t>
  </si>
  <si>
    <t>CAMANA</t>
  </si>
  <si>
    <t>NICOLAS DE PIEROLA</t>
  </si>
  <si>
    <t>HUAYLLANI CAMANI ALEX DANIEL</t>
  </si>
  <si>
    <t>75051470</t>
  </si>
  <si>
    <t>pub100</t>
  </si>
  <si>
    <t>040110</t>
  </si>
  <si>
    <t>POCSI</t>
  </si>
  <si>
    <t>OLIVERA TICONA JORGE LUIS</t>
  </si>
  <si>
    <t>74078090</t>
  </si>
  <si>
    <t>pub101</t>
  </si>
  <si>
    <t>JESUS PACHECO</t>
  </si>
  <si>
    <t>TUNQUE PEÑA MIRIAM BIANA</t>
  </si>
  <si>
    <t>43096009</t>
  </si>
  <si>
    <t>pub102</t>
  </si>
  <si>
    <t>040806</t>
  </si>
  <si>
    <t>PUYCA</t>
  </si>
  <si>
    <t>CACERES BAUTISTA ARACELI</t>
  </si>
  <si>
    <t>70961849</t>
  </si>
  <si>
    <t>pub103</t>
  </si>
  <si>
    <t>040807</t>
  </si>
  <si>
    <t>QUECHUALLA</t>
  </si>
  <si>
    <t>CONDORI CUEVA OSWALDO GROVER</t>
  </si>
  <si>
    <t>71347085</t>
  </si>
  <si>
    <t>pub104</t>
  </si>
  <si>
    <t>040412</t>
  </si>
  <si>
    <t>QUICACHA</t>
  </si>
  <si>
    <t>CHIRINOS ROSAS JOSE LUIS</t>
  </si>
  <si>
    <t>40811924</t>
  </si>
  <si>
    <t>pub105</t>
  </si>
  <si>
    <t>040606</t>
  </si>
  <si>
    <t>SALAMANCA</t>
  </si>
  <si>
    <t>QUISPE LEON YAQUELY MAGNOLIA</t>
  </si>
  <si>
    <t>45127817</t>
  </si>
  <si>
    <t>pub106</t>
  </si>
  <si>
    <t>040116</t>
  </si>
  <si>
    <t>SAN JUAN DE TARUCANI</t>
  </si>
  <si>
    <t>ESPINOZA ROSA ANGELICA RUHT</t>
  </si>
  <si>
    <t>76850565</t>
  </si>
  <si>
    <t>pub107</t>
  </si>
  <si>
    <t>040117</t>
  </si>
  <si>
    <t>SANTA ISABEL DE SIGUAS</t>
  </si>
  <si>
    <t>TORRES ZUÑIGA NEREYDA KARINA</t>
  </si>
  <si>
    <t>47496932</t>
  </si>
  <si>
    <t>961163 573</t>
  </si>
  <si>
    <t>pub108</t>
  </si>
  <si>
    <t>040808</t>
  </si>
  <si>
    <t>SAYLA</t>
  </si>
  <si>
    <t>PEREZ CHICORE MAYURI YESENIA</t>
  </si>
  <si>
    <t>72241819</t>
  </si>
  <si>
    <t>pub109</t>
  </si>
  <si>
    <t>040215</t>
  </si>
  <si>
    <t>SIBAYO</t>
  </si>
  <si>
    <t>CARPIO PAREDES MIRIAM ELIANA</t>
  </si>
  <si>
    <t>46506859</t>
  </si>
  <si>
    <t>pub110</t>
  </si>
  <si>
    <t>JR OR AREQUIPA(SE TRASLADO A LA AGENCIA CHIVAY)</t>
  </si>
  <si>
    <t>Publicadora sufrió un accidente el día 20/04 en la madrugada cuando se disponía a recoger su kit,, el carró se volcó</t>
  </si>
  <si>
    <t>040216</t>
  </si>
  <si>
    <t>TAPAY</t>
  </si>
  <si>
    <t>CAYLLAHUA VILCA NILDA MARIZA</t>
  </si>
  <si>
    <t>46990657</t>
  </si>
  <si>
    <t>pub111</t>
  </si>
  <si>
    <t>040809</t>
  </si>
  <si>
    <t>TAURIA</t>
  </si>
  <si>
    <t>FLORES QUISPE SHARON CARMEN MELANNY</t>
  </si>
  <si>
    <t>73679555</t>
  </si>
  <si>
    <t>pub112</t>
  </si>
  <si>
    <t>040217</t>
  </si>
  <si>
    <t>TISCO</t>
  </si>
  <si>
    <t>CHOQUEANCO CACERES ROSALIA EUSEBIA</t>
  </si>
  <si>
    <t>70216673</t>
  </si>
  <si>
    <t>pub113</t>
  </si>
  <si>
    <t>040218</t>
  </si>
  <si>
    <t>TUTI</t>
  </si>
  <si>
    <t>QUISPE CUTIPA THIAGO DAVID</t>
  </si>
  <si>
    <t>60965696</t>
  </si>
  <si>
    <t>pub114</t>
  </si>
  <si>
    <t>040607</t>
  </si>
  <si>
    <t>YANAQUIHUA</t>
  </si>
  <si>
    <t>RODRIGUEZ DIAZ ALINA LUCERO</t>
  </si>
  <si>
    <t>72311772</t>
  </si>
  <si>
    <t>pub115</t>
  </si>
  <si>
    <t>040219</t>
  </si>
  <si>
    <t>YANQUE</t>
  </si>
  <si>
    <t>MAQUE MAQUE BLADIMIR NELSON</t>
  </si>
  <si>
    <t>75527159</t>
  </si>
  <si>
    <t>pub116</t>
  </si>
  <si>
    <t>COMISARIA, REGISTRADOR CIVIL</t>
  </si>
  <si>
    <t>050703</t>
  </si>
  <si>
    <t>AYACUCHO</t>
  </si>
  <si>
    <t>VICTOR FAJARDO</t>
  </si>
  <si>
    <t>APONGO</t>
  </si>
  <si>
    <t>HUAYHUA HUAYHUA ELIZABEH</t>
  </si>
  <si>
    <t>42733648</t>
  </si>
  <si>
    <t>pub117</t>
  </si>
  <si>
    <t>050502</t>
  </si>
  <si>
    <t>LUCANAS</t>
  </si>
  <si>
    <t>AUCARA</t>
  </si>
  <si>
    <t>REYES CISNEROS JAKELIN ESTHEFANY</t>
  </si>
  <si>
    <t>74350344</t>
  </si>
  <si>
    <t>pub118</t>
  </si>
  <si>
    <t>AG LUCANAS</t>
  </si>
  <si>
    <t>MIGUEL MAGLORIO YARANGA CABEZAS</t>
  </si>
  <si>
    <t>IP 2998</t>
  </si>
  <si>
    <t>050804</t>
  </si>
  <si>
    <t>HUANCA SANCOS</t>
  </si>
  <si>
    <t>CARAPO</t>
  </si>
  <si>
    <t>TUMBALOBOS CABANA ANALI BERTHA</t>
  </si>
  <si>
    <t>70307186</t>
  </si>
  <si>
    <t>pub119</t>
  </si>
  <si>
    <t>REGISTRADOR CIVIL, CATASTRO, AUTORIDADES</t>
  </si>
  <si>
    <t>050504</t>
  </si>
  <si>
    <t>CARMEN SALCEDO</t>
  </si>
  <si>
    <t>RODRIGUEZ CAHUASCANCO JULIETA</t>
  </si>
  <si>
    <t>40682732</t>
  </si>
  <si>
    <t>pub120</t>
  </si>
  <si>
    <t>050905</t>
  </si>
  <si>
    <t>VILCAS HUAMAN</t>
  </si>
  <si>
    <t>CONCEPCION</t>
  </si>
  <si>
    <t>ANTONIO ÑAHUI ISABEL ALEXANDRA</t>
  </si>
  <si>
    <t>47809111</t>
  </si>
  <si>
    <t>pub121</t>
  </si>
  <si>
    <t>050601</t>
  </si>
  <si>
    <t>PARINACOCHAS</t>
  </si>
  <si>
    <t>CORACORA</t>
  </si>
  <si>
    <t>CULE RAMOS BREYCY NAYELY</t>
  </si>
  <si>
    <t>72081605</t>
  </si>
  <si>
    <t>pub122</t>
  </si>
  <si>
    <t>051109</t>
  </si>
  <si>
    <t>SUCRE</t>
  </si>
  <si>
    <t>HUACAÑA</t>
  </si>
  <si>
    <t>ROJAS FLORES HERMELINDA</t>
  </si>
  <si>
    <t>43679921</t>
  </si>
  <si>
    <t>pub123</t>
  </si>
  <si>
    <t>OR ANDAHUAYLAS (SE VA A ENVIAR A SUCRE)</t>
  </si>
  <si>
    <t>050710</t>
  </si>
  <si>
    <t>HUANCARAYLLA</t>
  </si>
  <si>
    <t>LINARES HERNANDEZ NELSON ENRIQUE</t>
  </si>
  <si>
    <t>49084625</t>
  </si>
  <si>
    <t>pub124</t>
  </si>
  <si>
    <t>QUINTANA RAYMUNDO KELLY OSHIN</t>
  </si>
  <si>
    <t>70002999</t>
  </si>
  <si>
    <t>pub125</t>
  </si>
  <si>
    <t>050511</t>
  </si>
  <si>
    <t>LARAMATE</t>
  </si>
  <si>
    <t>ACUÑA QUISPE ALEXANDRA VALERIA</t>
  </si>
  <si>
    <t>70987394</t>
  </si>
  <si>
    <t>pub126</t>
  </si>
  <si>
    <t>LEON QUISPE VANESSA</t>
  </si>
  <si>
    <t>41113574</t>
  </si>
  <si>
    <t>pub127</t>
  </si>
  <si>
    <t>050512</t>
  </si>
  <si>
    <t>LEONCIO PRADO</t>
  </si>
  <si>
    <t>MACOTELA SERVELEON KATHERINE BRIGUITTE</t>
  </si>
  <si>
    <t>71785508</t>
  </si>
  <si>
    <t>HABLAR POR WHATSAPP</t>
  </si>
  <si>
    <t>pub128</t>
  </si>
  <si>
    <t>050514</t>
  </si>
  <si>
    <t>LLAUTA</t>
  </si>
  <si>
    <t>COTRINA YARANGA LUIS EDUARDO</t>
  </si>
  <si>
    <t>07487107</t>
  </si>
  <si>
    <t>pub129</t>
  </si>
  <si>
    <t>050513</t>
  </si>
  <si>
    <t>HUARACA HUAMANI MICHAEL JOEL</t>
  </si>
  <si>
    <t>76542959</t>
  </si>
  <si>
    <t>pub130</t>
  </si>
  <si>
    <t>050516</t>
  </si>
  <si>
    <t>OCAÑA</t>
  </si>
  <si>
    <t>VALENCIA ESPEJO NOSAR</t>
  </si>
  <si>
    <t>74316023</t>
  </si>
  <si>
    <t>pub131</t>
  </si>
  <si>
    <t>050411</t>
  </si>
  <si>
    <t>LA MAR</t>
  </si>
  <si>
    <t>ORONCCOY</t>
  </si>
  <si>
    <t>QUISPE LOPEZ ELIAS</t>
  </si>
  <si>
    <t>70429567</t>
  </si>
  <si>
    <t>pub132</t>
  </si>
  <si>
    <t>051006</t>
  </si>
  <si>
    <t>PAUCAR DEL SARA SARA</t>
  </si>
  <si>
    <t>OYOLO</t>
  </si>
  <si>
    <t>RAYME PANDURO NADIA DANITZA</t>
  </si>
  <si>
    <t>72649666</t>
  </si>
  <si>
    <t>pub133</t>
  </si>
  <si>
    <t>RENE QUISPE</t>
  </si>
  <si>
    <t>RODRIGUEZ TAPULLIMA CARLOS ALBERTO</t>
  </si>
  <si>
    <t>76264099</t>
  </si>
  <si>
    <t>pub134</t>
  </si>
  <si>
    <t>1. TRABAJO EN CAMPO, 2. FORMATOS LEGALES, 3. SURVEY CTO</t>
  </si>
  <si>
    <t>Llegan 21/04 8am / NO LLEGA 1:10 PM</t>
  </si>
  <si>
    <t>050312</t>
  </si>
  <si>
    <t>HUANTA</t>
  </si>
  <si>
    <t>PUCACOLPA</t>
  </si>
  <si>
    <t>TENORIO ESTRADA KELVIN WILMER</t>
  </si>
  <si>
    <t>46912507</t>
  </si>
  <si>
    <t>pub135</t>
  </si>
  <si>
    <t>Llegará 21/04 11am / Llegó 5pm</t>
  </si>
  <si>
    <t>050611</t>
  </si>
  <si>
    <t>PULLO</t>
  </si>
  <si>
    <t>ORBEGOSO HEREDIA NIEVES GABRIELA</t>
  </si>
  <si>
    <t>72358930</t>
  </si>
  <si>
    <t>pub136</t>
  </si>
  <si>
    <t>No puede dejar oficio en comisaría, está muy lejos</t>
  </si>
  <si>
    <t>Llegará 21/4 8am. Llegó 21/04</t>
  </si>
  <si>
    <t>050314</t>
  </si>
  <si>
    <t>PUTIS</t>
  </si>
  <si>
    <t>CERDAN FERNANDEZ YENIFER</t>
  </si>
  <si>
    <t>74843164</t>
  </si>
  <si>
    <t>pub137</t>
  </si>
  <si>
    <t>Llegan 21/04 7am</t>
  </si>
  <si>
    <t>REGISTRADOR CIVIL, COMISARIA, CATASTRO</t>
  </si>
  <si>
    <t>LOPEZ QUISPE MERCEDES</t>
  </si>
  <si>
    <t>43614697</t>
  </si>
  <si>
    <t>918508974/952190075</t>
  </si>
  <si>
    <t>pub138</t>
  </si>
  <si>
    <t>2. FORMATOS LEGALES, 1. TRABAJO EN CAMPO</t>
  </si>
  <si>
    <t>050802</t>
  </si>
  <si>
    <t>SACSAMARCA</t>
  </si>
  <si>
    <t>VALENCIA ALDERETE PAMELA</t>
  </si>
  <si>
    <t>70252283</t>
  </si>
  <si>
    <t>pub139</t>
  </si>
  <si>
    <t>2. FORMATOS LEGALES, 3. SURVEY CTO</t>
  </si>
  <si>
    <t>20/04/2026 5pm. Incio 21/04 8:03 AM</t>
  </si>
  <si>
    <t>050529</t>
  </si>
  <si>
    <t>SAISA</t>
  </si>
  <si>
    <t>APCHO CHAVEZ ALICIA</t>
  </si>
  <si>
    <t>41426555</t>
  </si>
  <si>
    <t>pub140</t>
  </si>
  <si>
    <t>Llegará 21/04 11 am / Inicio 11:57 am</t>
  </si>
  <si>
    <t>051107</t>
  </si>
  <si>
    <t>SAN PEDRO DE LARCAY</t>
  </si>
  <si>
    <t>VARGAS MENDEZ JOHANA EDITH</t>
  </si>
  <si>
    <t>76424631</t>
  </si>
  <si>
    <t>pub141</t>
  </si>
  <si>
    <t>1. TRABAJO EN CAMPO, 2. FORMATOS LEGALES</t>
  </si>
  <si>
    <t>Llegó 20/04 5pm. Inicio 21/04 8AM</t>
  </si>
  <si>
    <t>050531</t>
  </si>
  <si>
    <t>SAN PEDRO DE PALCO</t>
  </si>
  <si>
    <t>ROJAS HUAMANI SAUL VICTOR</t>
  </si>
  <si>
    <t>71465128</t>
  </si>
  <si>
    <t>pub142</t>
  </si>
  <si>
    <t>20/04/26. 3pm. Inicio 21/04 8:06 AM</t>
  </si>
  <si>
    <t>050801</t>
  </si>
  <si>
    <t>SANCOS</t>
  </si>
  <si>
    <t>TRUJILLO GUTIERREZ JONATHAN ALBERTO</t>
  </si>
  <si>
    <t>43932335</t>
  </si>
  <si>
    <t>pub143</t>
  </si>
  <si>
    <t>JR OR HUAMANGA - HUANCA SANTOS</t>
  </si>
  <si>
    <t>Llegará 21/04 9:30 am. / Inició 9:am</t>
  </si>
  <si>
    <t>050520</t>
  </si>
  <si>
    <t>QUISPE ARONE JAMES RENZO</t>
  </si>
  <si>
    <t>48344616</t>
  </si>
  <si>
    <t>pub144</t>
  </si>
  <si>
    <t>3. SURVEY CTO</t>
  </si>
  <si>
    <t>Llegará 21/04 7:30 am</t>
  </si>
  <si>
    <t>050525</t>
  </si>
  <si>
    <t>SANTA LUCIA</t>
  </si>
  <si>
    <t>PILLACA LEDESMA WENDY MERELYN</t>
  </si>
  <si>
    <t>72261702</t>
  </si>
  <si>
    <t>pub145</t>
  </si>
  <si>
    <t>2. FORMATOS LEGALES</t>
  </si>
  <si>
    <t>Llegará 21/04 7am. / Inicio 21/04 9:52 am</t>
  </si>
  <si>
    <t>050803</t>
  </si>
  <si>
    <t>SANTIAGO DE LUCANAMARCA</t>
  </si>
  <si>
    <t>HUAYNASI HUAMANI MELISSA</t>
  </si>
  <si>
    <t>42035000</t>
  </si>
  <si>
    <t>pub146</t>
  </si>
  <si>
    <t>Llegó 20/04 7pm</t>
  </si>
  <si>
    <t>051108</t>
  </si>
  <si>
    <t>SORAS</t>
  </si>
  <si>
    <t>CRUZ ROSALES GLADYS JENNY</t>
  </si>
  <si>
    <t>41266615</t>
  </si>
  <si>
    <t>pub147</t>
  </si>
  <si>
    <t>1. TRABAJO EN CAMPO, 3. SURVEY CTO</t>
  </si>
  <si>
    <t>20/04/26. 5pm. Inicio 8:42 am</t>
  </si>
  <si>
    <t>050616</t>
  </si>
  <si>
    <t>UPAHUACHO</t>
  </si>
  <si>
    <t>PALOMINO ROJAS EDITH MILAGROS</t>
  </si>
  <si>
    <t>47622697</t>
  </si>
  <si>
    <t>pub148</t>
  </si>
  <si>
    <t>Va a viajar 21/04 y llegará a las 2pm</t>
  </si>
  <si>
    <t>TACURI MAMANI PATRICIA</t>
  </si>
  <si>
    <t>48427174</t>
  </si>
  <si>
    <t>pub149</t>
  </si>
  <si>
    <t>050714</t>
  </si>
  <si>
    <t>VILCANCHOS</t>
  </si>
  <si>
    <t>TACAS FLORES YONY RAUL</t>
  </si>
  <si>
    <t>60998173</t>
  </si>
  <si>
    <t>pub150</t>
  </si>
  <si>
    <t>20/04/26. 1pm. Inicio 21/04 8:02 AM</t>
  </si>
  <si>
    <t>061002</t>
  </si>
  <si>
    <t>CAJAMARCA</t>
  </si>
  <si>
    <t>SAN MIGUEL</t>
  </si>
  <si>
    <t>CALQUIS</t>
  </si>
  <si>
    <t>VASQUEZ VERA MARIANELA AYDELI</t>
  </si>
  <si>
    <t>47053401</t>
  </si>
  <si>
    <t>pub151</t>
  </si>
  <si>
    <t>OR CAJAMARCA</t>
  </si>
  <si>
    <t>MAURICIO CALLIRGOS HERA</t>
  </si>
  <si>
    <t>23/04/26</t>
  </si>
  <si>
    <t>061009</t>
  </si>
  <si>
    <t>EL PRADO</t>
  </si>
  <si>
    <t>LABORIANO SOLIS GISELA JANNETH</t>
  </si>
  <si>
    <t>46204838</t>
  </si>
  <si>
    <t>pub152</t>
  </si>
  <si>
    <t xml:space="preserve">Solo llegó un chaleco para dos publicadores </t>
  </si>
  <si>
    <t>20/04 7pm</t>
  </si>
  <si>
    <t>MENDOZA VENTURA MARCOS</t>
  </si>
  <si>
    <t>47270855</t>
  </si>
  <si>
    <t>pub153</t>
  </si>
  <si>
    <t>Llega 21/04 9am / Inició 21/04 7:57 AM</t>
  </si>
  <si>
    <t>060611</t>
  </si>
  <si>
    <t>CHOTA</t>
  </si>
  <si>
    <t>MIRACOSTA</t>
  </si>
  <si>
    <t>SEMPERTEGUI IDROGO EDINSON JAIME</t>
  </si>
  <si>
    <t>79706711</t>
  </si>
  <si>
    <t>pub154</t>
  </si>
  <si>
    <t>OR CHICLAYO</t>
  </si>
  <si>
    <t>DORA LUISA LAVADO DE LA CRUZ</t>
  </si>
  <si>
    <t>21/04 / 8am / Inicio 21/04 11 AM</t>
  </si>
  <si>
    <t>061006</t>
  </si>
  <si>
    <t>NIEPOS</t>
  </si>
  <si>
    <t>ANDRADE SANDOVAL NICOLE BELEN</t>
  </si>
  <si>
    <t>77238820</t>
  </si>
  <si>
    <t>pub155</t>
  </si>
  <si>
    <t>Llegará 21/04 7am. Inicio 21/04 11:04 am</t>
  </si>
  <si>
    <t>060617</t>
  </si>
  <si>
    <t>SAN JUAN DE LICUPIS</t>
  </si>
  <si>
    <t>DIAZ PEREZ LUZ ELITA</t>
  </si>
  <si>
    <t>75500176</t>
  </si>
  <si>
    <t>pub156</t>
  </si>
  <si>
    <t>AG CHOTA</t>
  </si>
  <si>
    <t>FANNY CAMPOS GUEVARA</t>
  </si>
  <si>
    <t>IP 2261</t>
  </si>
  <si>
    <t>Inicio 21/04 11:51am</t>
  </si>
  <si>
    <t>061304</t>
  </si>
  <si>
    <t>SAN PABLO</t>
  </si>
  <si>
    <t>TUMBADEN</t>
  </si>
  <si>
    <t>PAREDES TERRONES EMMY HELEN</t>
  </si>
  <si>
    <t>71924720</t>
  </si>
  <si>
    <t>pub157</t>
  </si>
  <si>
    <t>061010</t>
  </si>
  <si>
    <t>UNION AGUA BLANCA</t>
  </si>
  <si>
    <t>CHAVESTA ANCAJIMA EDWIN ALDEYR</t>
  </si>
  <si>
    <t>72841246</t>
  </si>
  <si>
    <t>pub158</t>
  </si>
  <si>
    <t>20/04/26. 5pm</t>
  </si>
  <si>
    <t>ROMERO CHANAME YOSSSELY TRINIDAD</t>
  </si>
  <si>
    <t>72266871</t>
  </si>
  <si>
    <t>pub159</t>
  </si>
  <si>
    <t>20/04 8pm. Inicio 08:31 am</t>
  </si>
  <si>
    <t>060311</t>
  </si>
  <si>
    <t>CELENDIN</t>
  </si>
  <si>
    <t>UTCO</t>
  </si>
  <si>
    <t>SILVA SILVA ANGHIE DEL CARMEN</t>
  </si>
  <si>
    <t>60730712</t>
  </si>
  <si>
    <t>pub160</t>
  </si>
  <si>
    <t>Inicio 21/04 12:13 pm</t>
  </si>
  <si>
    <t>071203</t>
  </si>
  <si>
    <t>CUSCO</t>
  </si>
  <si>
    <t>QUISPICANCHI</t>
  </si>
  <si>
    <t>CAMANTI</t>
  </si>
  <si>
    <t>JORGE HUALLPAYUNCA MARILUZ</t>
  </si>
  <si>
    <t>70973993</t>
  </si>
  <si>
    <t>pub161</t>
  </si>
  <si>
    <t>JR OR CUSCO</t>
  </si>
  <si>
    <t>LUZ CCORIMANYA LOZANO</t>
  </si>
  <si>
    <t>IP 2901</t>
  </si>
  <si>
    <t>Llegará el 22. Fue a trabajar el 20 en lugar del 21</t>
  </si>
  <si>
    <t>VALVERDE LAYME MAYLA JANIA</t>
  </si>
  <si>
    <t>76690635</t>
  </si>
  <si>
    <t>pub162</t>
  </si>
  <si>
    <t>Llegará 21/04 2am. / Inicio 21/04 8:11 AM</t>
  </si>
  <si>
    <t>071104</t>
  </si>
  <si>
    <t>PAUCARTAMBO</t>
  </si>
  <si>
    <t>CHALLABAMBA</t>
  </si>
  <si>
    <t>CANDIA DUEÑAS YHONATAN ISAAC</t>
  </si>
  <si>
    <t>48439946</t>
  </si>
  <si>
    <t>pub163</t>
  </si>
  <si>
    <t>20/04 a las 11pm / Inicio 21/04 8:05 AM</t>
  </si>
  <si>
    <t>070603</t>
  </si>
  <si>
    <t>CANCHIS</t>
  </si>
  <si>
    <t>CHECACUPE</t>
  </si>
  <si>
    <t>ZEVALLOS HUISA MARVIN EDU</t>
  </si>
  <si>
    <t>74409554</t>
  </si>
  <si>
    <t>pub164</t>
  </si>
  <si>
    <t>Inicio 21/04 11:36 am</t>
  </si>
  <si>
    <t>070602</t>
  </si>
  <si>
    <t>COMBAPATA</t>
  </si>
  <si>
    <t>SOTO LOZANO JOSHEP ANTHONY</t>
  </si>
  <si>
    <t>72604030</t>
  </si>
  <si>
    <t>pub165</t>
  </si>
  <si>
    <t>JR OR CUSCO - CANCHIS</t>
  </si>
  <si>
    <t xml:space="preserve">Llega 21/04 7am. / Inició 21/04. 7:51 AM </t>
  </si>
  <si>
    <t>070802</t>
  </si>
  <si>
    <t>ESPINAR</t>
  </si>
  <si>
    <t>CONDOROMA</t>
  </si>
  <si>
    <t>SUICO MANGO MARILUZ HORTENSIA</t>
  </si>
  <si>
    <t>43712969</t>
  </si>
  <si>
    <t>pub166</t>
  </si>
  <si>
    <t>JR OR CUSCO - ESPINAR</t>
  </si>
  <si>
    <t>CATASTRO, REGISTRADOR CIVIL, COMISARIA, AUTORIDADES</t>
  </si>
  <si>
    <t>NAYELI LOPEZ</t>
  </si>
  <si>
    <t>070803</t>
  </si>
  <si>
    <t>COPORAQUE</t>
  </si>
  <si>
    <t>HUACARPUMA PEÑA CIRA MILAGROS</t>
  </si>
  <si>
    <t>44193651</t>
  </si>
  <si>
    <t>pub167</t>
  </si>
  <si>
    <t>21/04 8 a.m.</t>
  </si>
  <si>
    <t xml:space="preserve">INICIO: Plaza de Armas
FIN: </t>
  </si>
  <si>
    <t>AUTORIDADES, REGISTRADOR CIVIL, CATASTRO</t>
  </si>
  <si>
    <t>Parroquia</t>
  </si>
  <si>
    <t>070902</t>
  </si>
  <si>
    <t>LA CONVENCION</t>
  </si>
  <si>
    <t>ECHARATE</t>
  </si>
  <si>
    <t>ATA BLANCO JAVIER</t>
  </si>
  <si>
    <t>46277268</t>
  </si>
  <si>
    <t>pub168</t>
  </si>
  <si>
    <t>AG LA CONVENCION</t>
  </si>
  <si>
    <t>UBER MOZO HUAMAN</t>
  </si>
  <si>
    <t>974717721 - IP 2940</t>
  </si>
  <si>
    <t>21/04 9 a.m.</t>
  </si>
  <si>
    <t xml:space="preserve">  </t>
  </si>
  <si>
    <t>CATASTRO, REGISTRADOR CIVIL, AUTORIDADES</t>
  </si>
  <si>
    <t>FLOREZ SANTISTEBAN LORINDA</t>
  </si>
  <si>
    <t>40998487</t>
  </si>
  <si>
    <t>pub169</t>
  </si>
  <si>
    <t xml:space="preserve">INICIO: Iglesia Parroquial del Centro Poblado de Echarate
FIN: </t>
  </si>
  <si>
    <t>070916</t>
  </si>
  <si>
    <t>KUMPIRUSHIATO</t>
  </si>
  <si>
    <t>CCASA MAMANI HUGO</t>
  </si>
  <si>
    <t>80395286</t>
  </si>
  <si>
    <t>pub170</t>
  </si>
  <si>
    <t>20/04 10 p.m.</t>
  </si>
  <si>
    <t xml:space="preserve">INICIO: Av. Echarate
FIN: </t>
  </si>
  <si>
    <t>CATASTRO, AUTORIDADES, REGISTRADOR CIVIL, COMISARIA</t>
  </si>
  <si>
    <t>Banco</t>
  </si>
  <si>
    <t>QUISPE LUNA ROSA ELENA</t>
  </si>
  <si>
    <t>72553009</t>
  </si>
  <si>
    <t>pub171</t>
  </si>
  <si>
    <t>070404</t>
  </si>
  <si>
    <t>CALCA</t>
  </si>
  <si>
    <t>LARES</t>
  </si>
  <si>
    <t>DESISTIÓ</t>
  </si>
  <si>
    <t>DESISTIO</t>
  </si>
  <si>
    <t>pub172</t>
  </si>
  <si>
    <t>VARGAS LEON JUAN MIGUEL</t>
  </si>
  <si>
    <t>77075194</t>
  </si>
  <si>
    <t>pub173</t>
  </si>
  <si>
    <t>21/04 3pm</t>
  </si>
  <si>
    <t xml:space="preserve">INICIO: Plaza de Lares S/N
FIN: </t>
  </si>
  <si>
    <t>071209</t>
  </si>
  <si>
    <t>MARCAPATA</t>
  </si>
  <si>
    <t>LOAIZA CCASA MARIBEL</t>
  </si>
  <si>
    <t>46578231</t>
  </si>
  <si>
    <t>pub174</t>
  </si>
  <si>
    <t>21/04 8am</t>
  </si>
  <si>
    <t xml:space="preserve">INICIO: Plaza de Armas S/N 
FIN: </t>
  </si>
  <si>
    <t>REGISTRADOR CIVIL, CATASTRO, COMISARIA, AUTORIDADES</t>
  </si>
  <si>
    <t>MENDOZA SOSA GRECIA STEFANIA</t>
  </si>
  <si>
    <t>47850907</t>
  </si>
  <si>
    <t>pub175</t>
  </si>
  <si>
    <t>070915</t>
  </si>
  <si>
    <t>MEGANTONI</t>
  </si>
  <si>
    <t>JUSTINIANI LOZANO MARCELLO</t>
  </si>
  <si>
    <t>70416989</t>
  </si>
  <si>
    <t>pub176</t>
  </si>
  <si>
    <t>21/04 1pm</t>
  </si>
  <si>
    <t xml:space="preserve">INICIO: Barrio Arriba Costado de la Municipalidad
FIN: </t>
  </si>
  <si>
    <t>SILLOCCA CCOYLLULLE GROVER</t>
  </si>
  <si>
    <t>74472457</t>
  </si>
  <si>
    <t>pub177</t>
  </si>
  <si>
    <t>070804</t>
  </si>
  <si>
    <t>OCORURO</t>
  </si>
  <si>
    <t>TAYPE ALA VERONICA</t>
  </si>
  <si>
    <t>46573313</t>
  </si>
  <si>
    <t>pub178</t>
  </si>
  <si>
    <t xml:space="preserve">INICIO: Plaza de Armas principal
FIN: </t>
  </si>
  <si>
    <t>COMISARIA, REGISTRADOR CIVIL, CATASTRO, AUTORIDADES</t>
  </si>
  <si>
    <t>070805</t>
  </si>
  <si>
    <t>PALLPATA</t>
  </si>
  <si>
    <t>TORRES CAMBILLO JAQUELINE EDITH</t>
  </si>
  <si>
    <t>10508606</t>
  </si>
  <si>
    <t>pub179</t>
  </si>
  <si>
    <t>21/04 1:30 p.m.</t>
  </si>
  <si>
    <t xml:space="preserve">INICIO: Calle Santa Cruz S/N
FIN: </t>
  </si>
  <si>
    <t>070605</t>
  </si>
  <si>
    <t>PITUMARCA</t>
  </si>
  <si>
    <t>CUSIHUALLPA HUAYPAR MARIBEL</t>
  </si>
  <si>
    <t>48238267</t>
  </si>
  <si>
    <t>pub180</t>
  </si>
  <si>
    <t>21/04 2p.m.</t>
  </si>
  <si>
    <t xml:space="preserve">INICIO: Plazoleta Pitumarca
FIN: </t>
  </si>
  <si>
    <t>CATASTRO, COMISARIA, REGISTRADOR CIVIL</t>
  </si>
  <si>
    <t>MEZA CHAVEZ ANGEL</t>
  </si>
  <si>
    <t>40115602</t>
  </si>
  <si>
    <t>pub181</t>
  </si>
  <si>
    <t>070908</t>
  </si>
  <si>
    <t>QUELLOUNO</t>
  </si>
  <si>
    <t>SE ESTÁN NEGANDO</t>
  </si>
  <si>
    <t>pub182</t>
  </si>
  <si>
    <t>070707</t>
  </si>
  <si>
    <t>CHUMBIVILCAS</t>
  </si>
  <si>
    <t>QUIÑOTA</t>
  </si>
  <si>
    <t>FIDEL ARRIETA BETSY KRISTELL</t>
  </si>
  <si>
    <t>62949658</t>
  </si>
  <si>
    <t>pub183</t>
  </si>
  <si>
    <t>SDPEG</t>
  </si>
  <si>
    <t>21/04
5PM</t>
  </si>
  <si>
    <t xml:space="preserve">INICIO: Plaza de Armas Quiñota S/N
FIN: </t>
  </si>
  <si>
    <t>COMISARIA</t>
  </si>
  <si>
    <t>070205</t>
  </si>
  <si>
    <t>ACOMAYO</t>
  </si>
  <si>
    <t>RONDOCAN</t>
  </si>
  <si>
    <t>FERNANDEZ BACA DELGADO JULIO CESAR</t>
  </si>
  <si>
    <t>42012152</t>
  </si>
  <si>
    <t>pub184</t>
  </si>
  <si>
    <t>NO HAY CARRO
5PM INTENTARÁ SALIR</t>
  </si>
  <si>
    <t xml:space="preserve">INICIO: Plazoleta Rondocan
FIN: </t>
  </si>
  <si>
    <t>Realizarán la publicación de 7am - 4pm debido a la disponibilidad de movilidad para salir y entrar del distrito</t>
  </si>
  <si>
    <t>RODRIGUEZ MENDEZ ROSSMERY EDITH</t>
  </si>
  <si>
    <t>72491054 </t>
  </si>
  <si>
    <t>pub185</t>
  </si>
  <si>
    <t>070606</t>
  </si>
  <si>
    <t>CORDOVA CARPIO LUCIO OSWALDO</t>
  </si>
  <si>
    <t>24719039</t>
  </si>
  <si>
    <t>pub186</t>
  </si>
  <si>
    <t>JR OR CUSCO - ESPINAR - CANCHIS</t>
  </si>
  <si>
    <t>21/04/26 5PM</t>
  </si>
  <si>
    <t>070807</t>
  </si>
  <si>
    <t>SUYCKUTAMBO</t>
  </si>
  <si>
    <t>CUTIRI CONDORI ROSMERY</t>
  </si>
  <si>
    <t>75064775</t>
  </si>
  <si>
    <t>pub187</t>
  </si>
  <si>
    <t>21/04 8AM</t>
  </si>
  <si>
    <t>070408</t>
  </si>
  <si>
    <t>YANATILE</t>
  </si>
  <si>
    <t>BEJAR DINOS JOAN MANUEL</t>
  </si>
  <si>
    <t>47462038</t>
  </si>
  <si>
    <t>pub188</t>
  </si>
  <si>
    <t xml:space="preserve">INICIO: Avenida Calca S/N
FIN: </t>
  </si>
  <si>
    <t>071007</t>
  </si>
  <si>
    <t>PARURO</t>
  </si>
  <si>
    <t>YAURISQUE</t>
  </si>
  <si>
    <t>CARRASCO LEZAMA SANDRA SHIRLEY</t>
  </si>
  <si>
    <t>75958871</t>
  </si>
  <si>
    <t>pub189</t>
  </si>
  <si>
    <t>21/04 9AM</t>
  </si>
  <si>
    <t xml:space="preserve">INICIO: Av. Jirón Progreso
FIN: </t>
  </si>
  <si>
    <t>080402</t>
  </si>
  <si>
    <t>HUANCAVELICA</t>
  </si>
  <si>
    <t>CASTROVIRREYNA</t>
  </si>
  <si>
    <t>ARMA</t>
  </si>
  <si>
    <t>pub190</t>
  </si>
  <si>
    <t>JR OR HUANCAVELICA</t>
  </si>
  <si>
    <t>RAÚL HUALLPA RODRIGUEZ</t>
  </si>
  <si>
    <t>949674551 - IP 2624</t>
  </si>
  <si>
    <t>080119</t>
  </si>
  <si>
    <t>ASCENSION</t>
  </si>
  <si>
    <t>ORREGO MIRANDA JOSE MIGUEL</t>
  </si>
  <si>
    <t>71929701</t>
  </si>
  <si>
    <t>pub191</t>
  </si>
  <si>
    <t>21/04 11AM</t>
  </si>
  <si>
    <t xml:space="preserve">INICIO: San Juan Evangelista N° 490
FIN: </t>
  </si>
  <si>
    <t>CATASTRO, REGISTRADOR CIVIL, AUTORIDADES, COMISARIA</t>
  </si>
  <si>
    <t>080601</t>
  </si>
  <si>
    <t>HUAYTARA</t>
  </si>
  <si>
    <t>AYAVI</t>
  </si>
  <si>
    <t>ESPINOZA DUEÑAS JENY</t>
  </si>
  <si>
    <t>40146180</t>
  </si>
  <si>
    <t>pub192</t>
  </si>
  <si>
    <t>21/04 7PM</t>
  </si>
  <si>
    <t xml:space="preserve">INICIO: Av. Los Libertadores
FIN: </t>
  </si>
  <si>
    <t>080405</t>
  </si>
  <si>
    <t>CAPILLAS</t>
  </si>
  <si>
    <t>MENDOZA FLORES FLOR EVELYN</t>
  </si>
  <si>
    <t>72719885</t>
  </si>
  <si>
    <t>pub193</t>
  </si>
  <si>
    <t>21/04 8a.m.</t>
  </si>
  <si>
    <t>080534</t>
  </si>
  <si>
    <t>TAYACAJA</t>
  </si>
  <si>
    <t>COCHABAMBA</t>
  </si>
  <si>
    <t>CARDENAS BAUTISTA YECENIA HERMELINDA</t>
  </si>
  <si>
    <t>70750876</t>
  </si>
  <si>
    <t>pub194</t>
  </si>
  <si>
    <t>JR OR HUANCAVELICA - AG SURCUBAMBA</t>
  </si>
  <si>
    <t>21/04 12PM</t>
  </si>
  <si>
    <t xml:space="preserve">INICIO: Plaza Principal
FIN: </t>
  </si>
  <si>
    <t>AUTORIDADES, CATASTRO, REGISTRADOR CIVIL</t>
  </si>
  <si>
    <t>SILGUERA BAUTISTA LIS DAYSI</t>
  </si>
  <si>
    <t>48541411</t>
  </si>
  <si>
    <t>pub195</t>
  </si>
  <si>
    <t>080106</t>
  </si>
  <si>
    <t>HUACHOCOLPA</t>
  </si>
  <si>
    <t>PIZARRO LAURA MARIANELA</t>
  </si>
  <si>
    <t>61111949</t>
  </si>
  <si>
    <t>pub196</t>
  </si>
  <si>
    <t>21/04 4AM</t>
  </si>
  <si>
    <t xml:space="preserve">INICIO: Plaza Principal de Huacholpa
FIN: </t>
  </si>
  <si>
    <t>COMISARIA, REGISTRADOR CIVIL, CATASTRO</t>
  </si>
  <si>
    <t>QUISPE LUCAS OLGA</t>
  </si>
  <si>
    <t>43539139</t>
  </si>
  <si>
    <t>pub197</t>
  </si>
  <si>
    <t>080410</t>
  </si>
  <si>
    <t>HUAMATAMBO</t>
  </si>
  <si>
    <t>TACUNAN VENTURA STEFANY NAYELY</t>
  </si>
  <si>
    <t>71252423</t>
  </si>
  <si>
    <t>pub198</t>
  </si>
  <si>
    <t>21/04 3PM</t>
  </si>
  <si>
    <t xml:space="preserve">INICIO: Calle Escuela
FIN: </t>
  </si>
  <si>
    <t>080603</t>
  </si>
  <si>
    <t>HUAYACUNDO ARMA</t>
  </si>
  <si>
    <t>pub199</t>
  </si>
  <si>
    <t>evae</t>
  </si>
  <si>
    <t>TOMAS FLORES</t>
  </si>
  <si>
    <t>PALOMINO CURASMA DEISY XIMENA</t>
  </si>
  <si>
    <t>70125025</t>
  </si>
  <si>
    <t>pub200</t>
  </si>
  <si>
    <t>COMISARIA, CATASTRO, AUTORIDADES, REGISTRADOR CIVIL</t>
  </si>
  <si>
    <t>080111</t>
  </si>
  <si>
    <t>MANTA</t>
  </si>
  <si>
    <t>LAURENTE ESCOBAR MIGUEL ANGEL</t>
  </si>
  <si>
    <t>70281221</t>
  </si>
  <si>
    <t>pub201</t>
  </si>
  <si>
    <t>080114</t>
  </si>
  <si>
    <t>NUEVO OCCORO</t>
  </si>
  <si>
    <t>CHANCHA CALDERON JULIO CESAR</t>
  </si>
  <si>
    <t>45488192</t>
  </si>
  <si>
    <t>pub202</t>
  </si>
  <si>
    <t>080531</t>
  </si>
  <si>
    <t>PICHOS</t>
  </si>
  <si>
    <t>RAMOS JURADO MABITT ARIELA</t>
  </si>
  <si>
    <t>71409290</t>
  </si>
  <si>
    <t>pub203</t>
  </si>
  <si>
    <t>COMISARIA, CATASTRO, REGISTRADOR CIVIL, AUTORIDADES</t>
  </si>
  <si>
    <t>080607</t>
  </si>
  <si>
    <t>PILPICHACA</t>
  </si>
  <si>
    <t>HUAMAN VICTORIA JHAKELIN KAROL</t>
  </si>
  <si>
    <t>72231013</t>
  </si>
  <si>
    <t>pub204</t>
  </si>
  <si>
    <t>946674551 - IP 2624</t>
  </si>
  <si>
    <t>080608</t>
  </si>
  <si>
    <t>QUERCO</t>
  </si>
  <si>
    <t>ORDOÑEZ CAYETANO JUAN CARLOS</t>
  </si>
  <si>
    <t>47149721</t>
  </si>
  <si>
    <t>pub205</t>
  </si>
  <si>
    <t>080610</t>
  </si>
  <si>
    <t>SAN ANTONIO DE CUSICANCHA</t>
  </si>
  <si>
    <t>TRUCIOS DANIEL MICHEL DANTE</t>
  </si>
  <si>
    <t>48020721</t>
  </si>
  <si>
    <t>pub206</t>
  </si>
  <si>
    <t>080612</t>
  </si>
  <si>
    <t>SAN ISIDRO</t>
  </si>
  <si>
    <t>MAYHUA VARGAS JHOSELYN FATIMA</t>
  </si>
  <si>
    <t>72228609</t>
  </si>
  <si>
    <t>pub207</t>
  </si>
  <si>
    <t>REGISTRADOR CIVIL, CATASTRO, AUTORIDADES, COMISARIA</t>
  </si>
  <si>
    <t>080422</t>
  </si>
  <si>
    <t>SAN JUAN</t>
  </si>
  <si>
    <t>CASTRO ESPINOZA ROY ROGER</t>
  </si>
  <si>
    <t>40625897</t>
  </si>
  <si>
    <t>941 926 796</t>
  </si>
  <si>
    <t>pub208</t>
  </si>
  <si>
    <t>080429</t>
  </si>
  <si>
    <t>SANTA ANA</t>
  </si>
  <si>
    <t>DE LA CRUZ PAUCAR ESTEFANY</t>
  </si>
  <si>
    <t>71935538</t>
  </si>
  <si>
    <t>pub209</t>
  </si>
  <si>
    <t>HUAMAN QUINTE CRISTHIAN</t>
  </si>
  <si>
    <t>73381659</t>
  </si>
  <si>
    <t>pub210</t>
  </si>
  <si>
    <t>080613</t>
  </si>
  <si>
    <t>SANTIAGO DE CHOCORVOS</t>
  </si>
  <si>
    <t>MARQUINA ESCOBAR FREDY DERIAN</t>
  </si>
  <si>
    <t>71923578</t>
  </si>
  <si>
    <t>pub211</t>
  </si>
  <si>
    <t>080615</t>
  </si>
  <si>
    <t>SANTO DOMINGO DE CAPILLAS</t>
  </si>
  <si>
    <t>HUAMAN TUNQUE LUIS FERNANDO</t>
  </si>
  <si>
    <t>75279771</t>
  </si>
  <si>
    <t>pub212</t>
  </si>
  <si>
    <t>080616</t>
  </si>
  <si>
    <t>TAMBO</t>
  </si>
  <si>
    <t>NUÑEZ ESLAVA CLISMAN ROYER</t>
  </si>
  <si>
    <t>70191042</t>
  </si>
  <si>
    <t>pub213</t>
  </si>
  <si>
    <t>RAMOS CHAMPI JHONY</t>
  </si>
  <si>
    <t>71121101</t>
  </si>
  <si>
    <t>pub214</t>
  </si>
  <si>
    <t>080525</t>
  </si>
  <si>
    <t>TINTAY PUNCU</t>
  </si>
  <si>
    <t>CHAMORRO BAZAN ROSA MERCEDES</t>
  </si>
  <si>
    <t>77476984</t>
  </si>
  <si>
    <t>pub215</t>
  </si>
  <si>
    <t>S/D</t>
  </si>
  <si>
    <t>080117</t>
  </si>
  <si>
    <t>VILCA</t>
  </si>
  <si>
    <t>EVANGELISTA BUSSO CELIA ROCIO</t>
  </si>
  <si>
    <t>72132574</t>
  </si>
  <si>
    <t>pub216</t>
  </si>
  <si>
    <t>090904</t>
  </si>
  <si>
    <t>HUANUCO</t>
  </si>
  <si>
    <t>HUACAYBAMBA</t>
  </si>
  <si>
    <t>TRUJILLO MALPARTIDA MARCELINA</t>
  </si>
  <si>
    <t>48174437</t>
  </si>
  <si>
    <t>YA TIENE LPI</t>
  </si>
  <si>
    <t>AG HUACAYBAMBA</t>
  </si>
  <si>
    <t>pub217</t>
  </si>
  <si>
    <t>REENVIAR KIT - PUBLICACIÓN EN AG HUACAYBAMBA</t>
  </si>
  <si>
    <t>090803</t>
  </si>
  <si>
    <t>PUERTO INCA</t>
  </si>
  <si>
    <t>CODO DEL POZUZO</t>
  </si>
  <si>
    <t>CHOQUE MAMANI RAUL</t>
  </si>
  <si>
    <t>25754086</t>
  </si>
  <si>
    <t>pub218</t>
  </si>
  <si>
    <t>JR OR PUCALLPA</t>
  </si>
  <si>
    <t>JACKELINE AQUINO</t>
  </si>
  <si>
    <t>090203</t>
  </si>
  <si>
    <t>AMBO</t>
  </si>
  <si>
    <t>COLPAS</t>
  </si>
  <si>
    <t>SALAZAR GUERRA ESTHER SOCORRO</t>
  </si>
  <si>
    <t>40202021</t>
  </si>
  <si>
    <t>pub219</t>
  </si>
  <si>
    <t>JR OR HUANUCO</t>
  </si>
  <si>
    <t>MIGUEL VILLENAS MAURICIO</t>
  </si>
  <si>
    <t>090312</t>
  </si>
  <si>
    <t>DOS DE MAYO</t>
  </si>
  <si>
    <t>MARIAS</t>
  </si>
  <si>
    <t>VALVERDE AGUIRRE PEDRO ROBINSON</t>
  </si>
  <si>
    <t>43573372</t>
  </si>
  <si>
    <t>pub220</t>
  </si>
  <si>
    <t>090314</t>
  </si>
  <si>
    <t>PACHAS</t>
  </si>
  <si>
    <t>MORALES AGUIRRE CAROLAY ESTEFANY</t>
  </si>
  <si>
    <t>75895361</t>
  </si>
  <si>
    <t>pub221</t>
  </si>
  <si>
    <t>090802</t>
  </si>
  <si>
    <t>TRAVIEZO MALASQUEZ CYNTHIA LIMHEIDY</t>
  </si>
  <si>
    <t>47202491</t>
  </si>
  <si>
    <t>pub222</t>
  </si>
  <si>
    <t>090409</t>
  </si>
  <si>
    <t>HUAMALIES</t>
  </si>
  <si>
    <t>PUÑOS</t>
  </si>
  <si>
    <t>JARAMILLO PORTELLA JANET ELIZABETH</t>
  </si>
  <si>
    <t>44402119</t>
  </si>
  <si>
    <t>pub223</t>
  </si>
  <si>
    <t>091004</t>
  </si>
  <si>
    <t>LAURICOCHA</t>
  </si>
  <si>
    <t>QUEROPALCA</t>
  </si>
  <si>
    <t>QUINTO CUELLAR JIMM SCOTT</t>
  </si>
  <si>
    <t>76536079</t>
  </si>
  <si>
    <t>pub224</t>
  </si>
  <si>
    <t>AUTORIDADES, CATASTRO, COMISARIA, REGISTRADOR CIVIL</t>
  </si>
  <si>
    <t>090317</t>
  </si>
  <si>
    <t>RIPAN</t>
  </si>
  <si>
    <t>ROJAS RIVAS MIRLA DEL ROCIO</t>
  </si>
  <si>
    <t>22477055</t>
  </si>
  <si>
    <t>pub225</t>
  </si>
  <si>
    <t>090505</t>
  </si>
  <si>
    <t>MARAÑON</t>
  </si>
  <si>
    <t>SAN BUENAVENTURA</t>
  </si>
  <si>
    <t>FELIX EGUIZABAL KEIVER JERSON</t>
  </si>
  <si>
    <t>70203652</t>
  </si>
  <si>
    <t>pub226</t>
  </si>
  <si>
    <t>PAP MARAÑON</t>
  </si>
  <si>
    <t>JACKELINE DAVILA LOPEZ.</t>
  </si>
  <si>
    <t>091005</t>
  </si>
  <si>
    <t>SAN MIGUEL DE CAURI</t>
  </si>
  <si>
    <t>CALLUPE CHAVEZ DONALD MAX</t>
  </si>
  <si>
    <t>41912683</t>
  </si>
  <si>
    <t>pub227</t>
  </si>
  <si>
    <t>090208</t>
  </si>
  <si>
    <t>TOMAY KICHWA</t>
  </si>
  <si>
    <t>MENDOZA ARIZA ISAIAS DANIEL</t>
  </si>
  <si>
    <t>72400746</t>
  </si>
  <si>
    <t>pub228</t>
  </si>
  <si>
    <t>090804</t>
  </si>
  <si>
    <t>TOURNAVISTA</t>
  </si>
  <si>
    <t>CARRASCO GONZALES CLAIRA LUZ</t>
  </si>
  <si>
    <t>46411673</t>
  </si>
  <si>
    <t>pub229</t>
  </si>
  <si>
    <t>SANCHEZ MORAN EDITH ROCIO</t>
  </si>
  <si>
    <t>42087193</t>
  </si>
  <si>
    <t>pub230</t>
  </si>
  <si>
    <t>090805</t>
  </si>
  <si>
    <t>YUYAPICHIS</t>
  </si>
  <si>
    <t>NUBE COBOS ANNA CARINA</t>
  </si>
  <si>
    <t>72961683</t>
  </si>
  <si>
    <t>pub231</t>
  </si>
  <si>
    <t>100202</t>
  </si>
  <si>
    <t>ICA</t>
  </si>
  <si>
    <t>CHINCHA</t>
  </si>
  <si>
    <t>CHAVIN</t>
  </si>
  <si>
    <t>CERDAN GARCIA LUIS ANTONIO</t>
  </si>
  <si>
    <t>40071313</t>
  </si>
  <si>
    <t>pub232</t>
  </si>
  <si>
    <t>JR OR ICA - CHINCHA</t>
  </si>
  <si>
    <t>LEONEL ROSALES VASQUEZ</t>
  </si>
  <si>
    <t>944676614 - IP 2991</t>
  </si>
  <si>
    <t>LLEGÓ A OR CHINCHA, SIN EMBARGO PERSONAL DESISTE PORQUE MOVILIDAD ES COSTOSA (S/. 250 SOLO IDA),
PUBLICARÁ PERSONAL ADMINISTRATIVO DE OR CHINCHA</t>
  </si>
  <si>
    <t xml:space="preserve">INICIO: AGENCIA REGISTRAL DE CHINCHA
FIN: </t>
  </si>
  <si>
    <t>KATERINE LOAYZA</t>
  </si>
  <si>
    <t>100402</t>
  </si>
  <si>
    <t>PISCO</t>
  </si>
  <si>
    <t>HUANCANO</t>
  </si>
  <si>
    <t>BARRIENTOS HUAMANI JAIME ELIAS</t>
  </si>
  <si>
    <t>70621891</t>
  </si>
  <si>
    <t>pub233</t>
  </si>
  <si>
    <t>JR OR ICA</t>
  </si>
  <si>
    <t>COMISARIA MUY LEJOS DEL DISTRITO</t>
  </si>
  <si>
    <t xml:space="preserve">INICIO: COMPLEJO MUNICIPAL JOSE MAVILA
FIN: </t>
  </si>
  <si>
    <t>Centro deportivo</t>
  </si>
  <si>
    <t>pub234</t>
  </si>
  <si>
    <t>PERSONAL DESISTIÓ</t>
  </si>
  <si>
    <t>100211</t>
  </si>
  <si>
    <t>SAN JUAN DE YANAC</t>
  </si>
  <si>
    <t>SOLANO SALDAÑA ELIANE MARILIM</t>
  </si>
  <si>
    <t>76481770</t>
  </si>
  <si>
    <t>pub235</t>
  </si>
  <si>
    <t>NINGUNO</t>
  </si>
  <si>
    <t xml:space="preserve">INICIO: PUESTO DE SALUD SAN JUAN DE YANAC
FIN: </t>
  </si>
  <si>
    <t>AUTORIDADES, CATASTRO, REGISTRADOR CIVIL, COMISARIA</t>
  </si>
  <si>
    <t>100111</t>
  </si>
  <si>
    <t>YAUCA DEL ROSARIO</t>
  </si>
  <si>
    <t>LIZA FREUNDT MARCO ANTONIO</t>
  </si>
  <si>
    <t>05641605</t>
  </si>
  <si>
    <t>pub236</t>
  </si>
  <si>
    <t xml:space="preserve">INICIO: IEI N°43 PAMPAHUASI - YAUCA DEL ROSARIO
FIN: </t>
  </si>
  <si>
    <t>AUTORIDADES</t>
  </si>
  <si>
    <t>PEREZ APARCANA JOSE JESUS</t>
  </si>
  <si>
    <t>72466910</t>
  </si>
  <si>
    <t>pub237</t>
  </si>
  <si>
    <t>110203</t>
  </si>
  <si>
    <t>JUNIN</t>
  </si>
  <si>
    <t>ANDAMARCA</t>
  </si>
  <si>
    <t>YERSON SEBASTIAN ROJAS MOLINA</t>
  </si>
  <si>
    <t>73467273</t>
  </si>
  <si>
    <t>pub238</t>
  </si>
  <si>
    <t>JR OR HUANCAYO</t>
  </si>
  <si>
    <t>MIGUEL BASTIDAS PORTALANZA</t>
  </si>
  <si>
    <t>IP 2609</t>
  </si>
  <si>
    <t xml:space="preserve">INICIO: IEI 30291 - ANDAMARCA
FIN: </t>
  </si>
  <si>
    <t>110303</t>
  </si>
  <si>
    <t>JAUJA</t>
  </si>
  <si>
    <t>APATA</t>
  </si>
  <si>
    <t>SEIDIBEL KAREN VARGAS CASAS</t>
  </si>
  <si>
    <t>44943144</t>
  </si>
  <si>
    <t>pub239</t>
  </si>
  <si>
    <t xml:space="preserve">INICIO: MUNICIPALIDAD DISTRITAL DE APATA
FIN: </t>
  </si>
  <si>
    <t>AUTORIDADES, REGISTRADOR CIVIL, CATASTRO, COMISARIA</t>
  </si>
  <si>
    <t>110103</t>
  </si>
  <si>
    <t>HUANCAYO</t>
  </si>
  <si>
    <t>CARHUACALLANGA</t>
  </si>
  <si>
    <t>ETHEL NOEMI PAUCAR SIERRA</t>
  </si>
  <si>
    <t>40653830</t>
  </si>
  <si>
    <t>pub240</t>
  </si>
  <si>
    <t>No pudo entregar oficio de comisaria</t>
  </si>
  <si>
    <t xml:space="preserve">INICIO: IEI 451 CARHUACALLANGA
FIN: </t>
  </si>
  <si>
    <t>110109</t>
  </si>
  <si>
    <t>CHONGOS ALTO</t>
  </si>
  <si>
    <t>RICARDO ALFREDO ESTRADA VEGA</t>
  </si>
  <si>
    <t>40969166</t>
  </si>
  <si>
    <t>pub241</t>
  </si>
  <si>
    <t xml:space="preserve">INICIO: LOCAL COMUNAL DE DEMUNA
FIN: </t>
  </si>
  <si>
    <t>Local Comunal DEMUNA</t>
  </si>
  <si>
    <t>110205</t>
  </si>
  <si>
    <t>NIEVES EMELY TAIPE CASTILLO</t>
  </si>
  <si>
    <t>74353056</t>
  </si>
  <si>
    <t>pub242</t>
  </si>
  <si>
    <t>No pudo entregar oficio a Comisaría</t>
  </si>
  <si>
    <t xml:space="preserve">INICIO: DIRECTIVA COMUNAL COCHAS
FIN: </t>
  </si>
  <si>
    <t>CATASTRO</t>
  </si>
  <si>
    <t>110105</t>
  </si>
  <si>
    <t>CULLHUAS</t>
  </si>
  <si>
    <t>NERY MILAGROS MACEDO GALARZA</t>
  </si>
  <si>
    <t>71831075</t>
  </si>
  <si>
    <t>pub243</t>
  </si>
  <si>
    <t xml:space="preserve">INICIO: PUESTO DE SALUD
FIN: </t>
  </si>
  <si>
    <t>110503</t>
  </si>
  <si>
    <t>TARMA</t>
  </si>
  <si>
    <t>HUARICOLCA</t>
  </si>
  <si>
    <t>CASIMIRO LOZANO JHOMARA LIZETTE</t>
  </si>
  <si>
    <t>70137765</t>
  </si>
  <si>
    <t>pub244</t>
  </si>
  <si>
    <t xml:space="preserve">INICIO: MUNICIPALIDAD DISTRITAL DE HUARICOLCA
FIN: </t>
  </si>
  <si>
    <t>MIGUEL ANGEL CHUCTAYA OSCANOA</t>
  </si>
  <si>
    <t>21118893</t>
  </si>
  <si>
    <t>pub245</t>
  </si>
  <si>
    <t>110603</t>
  </si>
  <si>
    <t>YAULI</t>
  </si>
  <si>
    <t>HUAY-HUAY</t>
  </si>
  <si>
    <t>HUANCA SANCO EDWIN ALFREDO</t>
  </si>
  <si>
    <t>10786249</t>
  </si>
  <si>
    <t>pub246</t>
  </si>
  <si>
    <t xml:space="preserve">INICIO: AGENCIA BANCARIA BBVA
FIN: </t>
  </si>
  <si>
    <t>Agencia Bancaria</t>
  </si>
  <si>
    <t>110401</t>
  </si>
  <si>
    <t>RAFAEL GREGORIO CASTILLO SALVADOR</t>
  </si>
  <si>
    <t>70838182</t>
  </si>
  <si>
    <t>pub247</t>
  </si>
  <si>
    <t xml:space="preserve">INICIO: DEMUNA
FIN: </t>
  </si>
  <si>
    <t>Demuna</t>
  </si>
  <si>
    <t>110601</t>
  </si>
  <si>
    <t>LA OROYA</t>
  </si>
  <si>
    <t>PAOLA PATRICIA QUISPE CHAVEZ</t>
  </si>
  <si>
    <t>72514429</t>
  </si>
  <si>
    <t>pub248</t>
  </si>
  <si>
    <t xml:space="preserve">INICIO: CENTRO DE SALUD LA OROYA
FIN: </t>
  </si>
  <si>
    <t>SANDRA EDITH MENDOZA MAYTA</t>
  </si>
  <si>
    <t>42434895</t>
  </si>
  <si>
    <t>pub249</t>
  </si>
  <si>
    <t>REGISTRADOR CIVIL, AUTORIDADES, CATASTRO, COMISARIA</t>
  </si>
  <si>
    <t>110604</t>
  </si>
  <si>
    <t>MARCAPOMACOCHA</t>
  </si>
  <si>
    <t>CARMEN DEL PILAR POMA PAGAN</t>
  </si>
  <si>
    <t>20083870</t>
  </si>
  <si>
    <t>pub251</t>
  </si>
  <si>
    <t xml:space="preserve">INICIO: LOCAL COMUNAL
FIN: </t>
  </si>
  <si>
    <t>ROBO DE CELULAR A PUBLICADORA, NO PODRÁ USAR APP, SIN EMBARGO SU COLEGA PUBLICADORA DEL MISMO DISTRITO FACILITARA SUS DOCUMENTOS VIA WHATTSAP</t>
  </si>
  <si>
    <t>ANA VALENTINA VALLADARES POMA</t>
  </si>
  <si>
    <t>60830138</t>
  </si>
  <si>
    <t>pub250</t>
  </si>
  <si>
    <t>110332</t>
  </si>
  <si>
    <t>MASMA CHICCHE</t>
  </si>
  <si>
    <t>HAROLD RAUL TORRES ESPINOZA</t>
  </si>
  <si>
    <t>72813318</t>
  </si>
  <si>
    <t>pub252</t>
  </si>
  <si>
    <t>110316</t>
  </si>
  <si>
    <t>MOLINOS</t>
  </si>
  <si>
    <t>DENNY PRUDENCIO MENDOZA TORRES</t>
  </si>
  <si>
    <t>46926257</t>
  </si>
  <si>
    <t>pub253</t>
  </si>
  <si>
    <t xml:space="preserve">INICIO: ALBERGUE MUNICIPAL MOLINOS
FIN: </t>
  </si>
  <si>
    <t>Albergue</t>
  </si>
  <si>
    <t>110317</t>
  </si>
  <si>
    <t>MONOBAMBA</t>
  </si>
  <si>
    <t>JIMMY OSWALDO SORIANO YAPIAS</t>
  </si>
  <si>
    <t>42702453</t>
  </si>
  <si>
    <t>pub254</t>
  </si>
  <si>
    <t>LOCAL COMUNAL</t>
  </si>
  <si>
    <t>110403</t>
  </si>
  <si>
    <t>ONDORES</t>
  </si>
  <si>
    <t>DANTE MICHEL PAREDES TORREJON</t>
  </si>
  <si>
    <t>41166354</t>
  </si>
  <si>
    <t>pub255</t>
  </si>
  <si>
    <t>110606</t>
  </si>
  <si>
    <t>PACCHA</t>
  </si>
  <si>
    <t>LIGIA ROSAMELL ROJAS MENDOZA</t>
  </si>
  <si>
    <t>41407091</t>
  </si>
  <si>
    <t>pub256</t>
  </si>
  <si>
    <t xml:space="preserve">INICIO: MUNICIPALIDAD DISTRITAL DE PACCHA
FIN: </t>
  </si>
  <si>
    <t>110705</t>
  </si>
  <si>
    <t>SATIPO</t>
  </si>
  <si>
    <t>PAMPA HERMOSA</t>
  </si>
  <si>
    <t>YINNO RAUL PAITAN RAMOS</t>
  </si>
  <si>
    <t>74020321</t>
  </si>
  <si>
    <t>pub257</t>
  </si>
  <si>
    <t>110126</t>
  </si>
  <si>
    <t>QUILCAS</t>
  </si>
  <si>
    <t>LEONARDO DAVID PRUDENCIO VIDELA</t>
  </si>
  <si>
    <t>75047327</t>
  </si>
  <si>
    <t>pub258</t>
  </si>
  <si>
    <t>NINGUNA</t>
  </si>
  <si>
    <t xml:space="preserve">INICIO: PUESTO DE AUXILIO RAPIDO PNP DE QUILCAS
FIN: </t>
  </si>
  <si>
    <t>REGISTRADOR CIVIL, COMISARIA, AUTORIDADES, CATASTRO</t>
  </si>
  <si>
    <t>110325</t>
  </si>
  <si>
    <t>RICRAN</t>
  </si>
  <si>
    <t>MARIA DEL PILAR TORRE LEDESMA</t>
  </si>
  <si>
    <t>80126333</t>
  </si>
  <si>
    <t>pub259</t>
  </si>
  <si>
    <t>BAJA SEÑAL DE INTERNET, PROBLEMAS DE COMUNICACIÓN</t>
  </si>
  <si>
    <t xml:space="preserve">INICIO: SUBPREFECTURA DISTRITAL
FIN: </t>
  </si>
  <si>
    <t>Sub Prefectura</t>
  </si>
  <si>
    <t>110508</t>
  </si>
  <si>
    <t>SAN PEDRO DE CAJAS</t>
  </si>
  <si>
    <t>CANCHARI LEON HENRY MICHAEL</t>
  </si>
  <si>
    <t>43100234</t>
  </si>
  <si>
    <t>pub260</t>
  </si>
  <si>
    <t xml:space="preserve">INICIO: ESSALUD SAN PEDRO DE CAJAS
FIN: </t>
  </si>
  <si>
    <t>110607</t>
  </si>
  <si>
    <t>SANTA BARBARA DE CARHUACAYAN</t>
  </si>
  <si>
    <t>ELIZABETH PATRICIA RAMOS MELGAR</t>
  </si>
  <si>
    <t>20082593</t>
  </si>
  <si>
    <t>pub261</t>
  </si>
  <si>
    <t>COMISARIA QUEDA MUY LEJOS DE LUGAR DE PUBLICACIÓN</t>
  </si>
  <si>
    <t xml:space="preserve">INICIO: BANCO DE LA NACION DEL DISTRITO
FIN: </t>
  </si>
  <si>
    <t>BANCO</t>
  </si>
  <si>
    <t>110608</t>
  </si>
  <si>
    <t>SUITUCANCHA</t>
  </si>
  <si>
    <t>BETSY MEZA URCO</t>
  </si>
  <si>
    <t>40096437</t>
  </si>
  <si>
    <t>pub262</t>
  </si>
  <si>
    <t xml:space="preserve">INICIO: LOCAL DE LA COMUNIDAD CAMPESINA DE SUITUCANCHA
FIN: </t>
  </si>
  <si>
    <t>Local de Comunidad Campesina</t>
  </si>
  <si>
    <t>110404</t>
  </si>
  <si>
    <t>ULCUMAYO</t>
  </si>
  <si>
    <t>CANGALAYA GONZALES YOSELIN LOURDES</t>
  </si>
  <si>
    <t>74458857</t>
  </si>
  <si>
    <t>pub263</t>
  </si>
  <si>
    <t xml:space="preserve">INICIO: LOCAL DE COMUNIDAD CAMPESINA DE ULCUMAYO
FIN: </t>
  </si>
  <si>
    <t>110330</t>
  </si>
  <si>
    <t>VALVERDE MAYTA SOFIA NOHELIA</t>
  </si>
  <si>
    <t>70349142</t>
  </si>
  <si>
    <t>pub264</t>
  </si>
  <si>
    <t>Corrección de oficio a comisaria, debe decir CPNP YAULI -JAUJA</t>
  </si>
  <si>
    <t>120405</t>
  </si>
  <si>
    <t>LA LIBERTAD</t>
  </si>
  <si>
    <t>OTUZCO</t>
  </si>
  <si>
    <t>LA CUESTA</t>
  </si>
  <si>
    <t>IBAÑEZ GONZALEZ TERESA BALVINA</t>
  </si>
  <si>
    <t>19020534</t>
  </si>
  <si>
    <t>pub265</t>
  </si>
  <si>
    <t>AG OTUZCO</t>
  </si>
  <si>
    <t>GLICERIO PARDO SUMARAN</t>
  </si>
  <si>
    <t>MIGUEL ANGEL AYCA</t>
  </si>
  <si>
    <t>120204</t>
  </si>
  <si>
    <t>BOLIVAR</t>
  </si>
  <si>
    <t>LONGOTEA</t>
  </si>
  <si>
    <t>SULLASI PUITIZA  KELLY LIZETH</t>
  </si>
  <si>
    <t>46949221</t>
  </si>
  <si>
    <t>pub266</t>
  </si>
  <si>
    <t>AG BOLIVAR</t>
  </si>
  <si>
    <t>Glotilde Lorena Hollos</t>
  </si>
  <si>
    <t>TORRES LOPEZ ELIDA YASELY</t>
  </si>
  <si>
    <t>70892016</t>
  </si>
  <si>
    <t>929154620(LL)
946367098(W)</t>
  </si>
  <si>
    <t>pub267</t>
  </si>
  <si>
    <t>120607</t>
  </si>
  <si>
    <t>PATAZ</t>
  </si>
  <si>
    <t>ONGON</t>
  </si>
  <si>
    <t>JARA MENDOZA YELSIN EDILBERTO</t>
  </si>
  <si>
    <t>72091113</t>
  </si>
  <si>
    <t>pub268</t>
  </si>
  <si>
    <t>AG TAYABAMBA</t>
  </si>
  <si>
    <t>Yanet Capac</t>
  </si>
  <si>
    <t>21//04/2026</t>
  </si>
  <si>
    <t>SEREYDA MAGADALI LÓPEZ FLORES</t>
  </si>
  <si>
    <t>71007580</t>
  </si>
  <si>
    <t>pub269</t>
  </si>
  <si>
    <t>120408</t>
  </si>
  <si>
    <t>PARANDAY</t>
  </si>
  <si>
    <t>CRUZADO VASQUEZ LIZZIE MARILOLI</t>
  </si>
  <si>
    <t>47006736</t>
  </si>
  <si>
    <t>pub270</t>
  </si>
  <si>
    <t>JR OR TRUJILLO</t>
  </si>
  <si>
    <t>LUIS VERGARA</t>
  </si>
  <si>
    <t>IP 2211</t>
  </si>
  <si>
    <t>HONORIO SAAVEDRA CINTHIA LISBETH</t>
  </si>
  <si>
    <t>45282331</t>
  </si>
  <si>
    <t>pub271</t>
  </si>
  <si>
    <t>120106</t>
  </si>
  <si>
    <t>TRUJILLO</t>
  </si>
  <si>
    <t>SIMBAL</t>
  </si>
  <si>
    <t>CABANILLAS ZAPATA GERSON ALEXIS</t>
  </si>
  <si>
    <t>75790681</t>
  </si>
  <si>
    <t>pub272</t>
  </si>
  <si>
    <t>120410</t>
  </si>
  <si>
    <t>SINSICAP</t>
  </si>
  <si>
    <t>RIOS GARCIA URRITIA MIGUEL TADEO DEL SEGUNDO CORAZON DE JESUS</t>
  </si>
  <si>
    <t>74039474</t>
  </si>
  <si>
    <t>pub273</t>
  </si>
  <si>
    <t>AUTORIDADES, COMISARIA, CATASTRO, REGISTRADOR CIVIL</t>
  </si>
  <si>
    <t>120206</t>
  </si>
  <si>
    <t>UCHUMARCA</t>
  </si>
  <si>
    <t>HOYOS CHUQUIMUNI CLOTILDE LORENA</t>
  </si>
  <si>
    <t>41438215</t>
  </si>
  <si>
    <t>KIT NO LLEGA</t>
  </si>
  <si>
    <t>pub274</t>
  </si>
  <si>
    <t>Clotilde Lorena Hoyos</t>
  </si>
  <si>
    <t>947 714 378</t>
  </si>
  <si>
    <t>130203</t>
  </si>
  <si>
    <t>LAMBAYEQUE</t>
  </si>
  <si>
    <t>FERREÑAFE</t>
  </si>
  <si>
    <t>CAÑARIS</t>
  </si>
  <si>
    <t>BENITES MORA YAXON VICENTE</t>
  </si>
  <si>
    <t>76830933</t>
  </si>
  <si>
    <t>pub275</t>
  </si>
  <si>
    <t>130202</t>
  </si>
  <si>
    <t>INCAHUASI</t>
  </si>
  <si>
    <t>GUTIERREZ CARLOS CAMILA MILAGROS</t>
  </si>
  <si>
    <t>47827989</t>
  </si>
  <si>
    <t>pub276</t>
  </si>
  <si>
    <t>140502</t>
  </si>
  <si>
    <t>LIMA</t>
  </si>
  <si>
    <t>HUAURA</t>
  </si>
  <si>
    <t>AMBAR</t>
  </si>
  <si>
    <t>TOHALINO HUAMANI WENDY RUBI</t>
  </si>
  <si>
    <t>48200679</t>
  </si>
  <si>
    <t>pub277</t>
  </si>
  <si>
    <t>SEDE PUMACAHUA</t>
  </si>
  <si>
    <t>140705</t>
  </si>
  <si>
    <t>YAUYOS</t>
  </si>
  <si>
    <t>AZANGARO</t>
  </si>
  <si>
    <t>GALVEZ GIRON JOSE MANUEL ROQUE</t>
  </si>
  <si>
    <t>70480608</t>
  </si>
  <si>
    <t>pub278</t>
  </si>
  <si>
    <t>AG CAÑETE</t>
  </si>
  <si>
    <t>ALEJANDRINA CHUMPITAZ</t>
  </si>
  <si>
    <t>VERGARA ZAVALETA JORGE OMAR</t>
  </si>
  <si>
    <t>42051470</t>
  </si>
  <si>
    <t>pub279</t>
  </si>
  <si>
    <t>140706</t>
  </si>
  <si>
    <t>CACRA</t>
  </si>
  <si>
    <t>???</t>
  </si>
  <si>
    <t>pub280</t>
  </si>
  <si>
    <t>140201</t>
  </si>
  <si>
    <t>CAJATAMBO</t>
  </si>
  <si>
    <t>DONAIRES GUTIERREZ EDISON</t>
  </si>
  <si>
    <t>47062551</t>
  </si>
  <si>
    <t>pub281</t>
  </si>
  <si>
    <t>140402</t>
  </si>
  <si>
    <t>CAÑETE</t>
  </si>
  <si>
    <t>CALANGO</t>
  </si>
  <si>
    <t>AGUILAR DELGADO CLARA MILAGROS</t>
  </si>
  <si>
    <t>16468809</t>
  </si>
  <si>
    <t>pub282</t>
  </si>
  <si>
    <t>RODRIGUEZ VALERA THANIA YVON</t>
  </si>
  <si>
    <t>46964010</t>
  </si>
  <si>
    <t>pub283</t>
  </si>
  <si>
    <t>140604</t>
  </si>
  <si>
    <t>HUAROCHIRI</t>
  </si>
  <si>
    <t>CARAMPOMA</t>
  </si>
  <si>
    <t>pub284</t>
  </si>
  <si>
    <t>140707</t>
  </si>
  <si>
    <t>CARANIA</t>
  </si>
  <si>
    <t>BACALLA VARGAS JHOSELYN ROCIO</t>
  </si>
  <si>
    <t>74043698</t>
  </si>
  <si>
    <t>pub285</t>
  </si>
  <si>
    <t>BUITRON SULCA YAMIR ALESSANDRO</t>
  </si>
  <si>
    <t>73013116</t>
  </si>
  <si>
    <t>pub286</t>
  </si>
  <si>
    <t>141003</t>
  </si>
  <si>
    <t>OYON</t>
  </si>
  <si>
    <t>CAUJUL</t>
  </si>
  <si>
    <t>LLANOS MENDOZA XIMENA ESMERALDA</t>
  </si>
  <si>
    <t>72535430</t>
  </si>
  <si>
    <t>pub287</t>
  </si>
  <si>
    <t>140607</t>
  </si>
  <si>
    <t>CHICLA</t>
  </si>
  <si>
    <t>PORTAL SUCA SHANY AYLEEN</t>
  </si>
  <si>
    <t>70625776</t>
  </si>
  <si>
    <t>pub288</t>
  </si>
  <si>
    <t>SUCA LLACZA BERENICE NOEMI</t>
  </si>
  <si>
    <t>70201990</t>
  </si>
  <si>
    <t>pub289</t>
  </si>
  <si>
    <t>140710</t>
  </si>
  <si>
    <t>CHOCOS</t>
  </si>
  <si>
    <t>SORIANO MATEO SHIRLEY HAZEL</t>
  </si>
  <si>
    <t>70778941</t>
  </si>
  <si>
    <t>pub290</t>
  </si>
  <si>
    <t>141006</t>
  </si>
  <si>
    <t>COCHAMARCA</t>
  </si>
  <si>
    <t>CLERQUE DIAZ JENNY EDITH</t>
  </si>
  <si>
    <t>40430306</t>
  </si>
  <si>
    <t>pub291</t>
  </si>
  <si>
    <t>140205</t>
  </si>
  <si>
    <t>COPA</t>
  </si>
  <si>
    <t>SANTANA BENITES RISTER JHYMI</t>
  </si>
  <si>
    <t>72126812</t>
  </si>
  <si>
    <t>pub292</t>
  </si>
  <si>
    <t xml:space="preserve">Comunidad vecinal </t>
  </si>
  <si>
    <t>140206</t>
  </si>
  <si>
    <t>GORGOR</t>
  </si>
  <si>
    <t>CASTRO VEGA LUIS ALEXANDER</t>
  </si>
  <si>
    <t>25834400</t>
  </si>
  <si>
    <t>pub293</t>
  </si>
  <si>
    <t>140730</t>
  </si>
  <si>
    <t>HONGOS</t>
  </si>
  <si>
    <t>CUBA AQUINO CAMILA  ISABELA</t>
  </si>
  <si>
    <t>74074506</t>
  </si>
  <si>
    <t>pub294</t>
  </si>
  <si>
    <t>GUTIERREZ LLACZA EDUARDO RENZO</t>
  </si>
  <si>
    <t>74394522</t>
  </si>
  <si>
    <t>pub295</t>
  </si>
  <si>
    <t>140712</t>
  </si>
  <si>
    <t>HUANCAYA</t>
  </si>
  <si>
    <t>SEDANO ROJAS JHON ROMULO</t>
  </si>
  <si>
    <t>75589936</t>
  </si>
  <si>
    <t>pub296</t>
  </si>
  <si>
    <t>140714</t>
  </si>
  <si>
    <t>HUANTAN</t>
  </si>
  <si>
    <t>TENORIO YUPANQUI ELENA ROSARIO</t>
  </si>
  <si>
    <t>10684702</t>
  </si>
  <si>
    <t>pub297</t>
  </si>
  <si>
    <t>21/042026</t>
  </si>
  <si>
    <t>140608</t>
  </si>
  <si>
    <t>HUANZA</t>
  </si>
  <si>
    <t>GUILLEN CARVAJAL KEVIN OLIVER</t>
  </si>
  <si>
    <t>73572221</t>
  </si>
  <si>
    <t>pub298</t>
  </si>
  <si>
    <t xml:space="preserve">INICIO:  AV ASUNCION S/N
FIN: </t>
  </si>
  <si>
    <t>ARIADNA CHAVEZ</t>
  </si>
  <si>
    <t>140304</t>
  </si>
  <si>
    <t>CANTA</t>
  </si>
  <si>
    <t>HUAROS</t>
  </si>
  <si>
    <t>NAVARRO GUEVARA FIORELLA SUSANA ASTRID</t>
  </si>
  <si>
    <t>73176247</t>
  </si>
  <si>
    <t>pub299</t>
  </si>
  <si>
    <t xml:space="preserve">INICIO:  FRENTE A LA PLAZA DE ARMAS DE HUAROS
FIN: </t>
  </si>
  <si>
    <t>140611</t>
  </si>
  <si>
    <t>LANGA</t>
  </si>
  <si>
    <t>AYALA DEDIOS DAVID ALEXANDER</t>
  </si>
  <si>
    <t>72497851</t>
  </si>
  <si>
    <t>pub300</t>
  </si>
  <si>
    <t xml:space="preserve">INICIO: PLAZA DE LANGA
FIN: </t>
  </si>
  <si>
    <t>140631</t>
  </si>
  <si>
    <t>LARAOS</t>
  </si>
  <si>
    <t>BENITES ALLCAHUAMAN MIGUEL ANGEL CLAUDIO</t>
  </si>
  <si>
    <t>74417621</t>
  </si>
  <si>
    <t>pub301</t>
  </si>
  <si>
    <t xml:space="preserve">INICIO: JR 28 DE JULIO
FIN: </t>
  </si>
  <si>
    <t>CCANTO MOZA KENNY VLADIMIR</t>
  </si>
  <si>
    <t>60891426</t>
  </si>
  <si>
    <t>pub302</t>
  </si>
  <si>
    <t>140716</t>
  </si>
  <si>
    <t>DEL ROSARIO AÑAZCO LISSET</t>
  </si>
  <si>
    <t>44040178</t>
  </si>
  <si>
    <t>pub303</t>
  </si>
  <si>
    <t xml:space="preserve">INICIO:  AV 28 DE JULIO
FIN: </t>
  </si>
  <si>
    <t>MORAN AÑAZCO GUISSELA</t>
  </si>
  <si>
    <t>80543011</t>
  </si>
  <si>
    <t>pub304</t>
  </si>
  <si>
    <t>140717</t>
  </si>
  <si>
    <t>LINCHA</t>
  </si>
  <si>
    <t>DAZA SUCA ROSS MARIANNE</t>
  </si>
  <si>
    <t>75556234</t>
  </si>
  <si>
    <t>pub305</t>
  </si>
  <si>
    <t xml:space="preserve">INICIO: CALLE LIMA
FIN: </t>
  </si>
  <si>
    <t>RIOS PABLO ALEJANDRO FREDDY</t>
  </si>
  <si>
    <t>09755226</t>
  </si>
  <si>
    <t>pub306</t>
  </si>
  <si>
    <t>140731</t>
  </si>
  <si>
    <t>MADEAN</t>
  </si>
  <si>
    <t>DE LA CRUZ AVALOS MARCOS IVAN</t>
  </si>
  <si>
    <t>43088925</t>
  </si>
  <si>
    <t>pub307</t>
  </si>
  <si>
    <t xml:space="preserve">INICIO:  AV SAN ANTONIO 300
FIN: </t>
  </si>
  <si>
    <t>140612</t>
  </si>
  <si>
    <t>MARIATANA</t>
  </si>
  <si>
    <t>MARTINEZ MALLQUI MANUEL ALEJANDRO</t>
  </si>
  <si>
    <t>72305436</t>
  </si>
  <si>
    <t>pub308</t>
  </si>
  <si>
    <t xml:space="preserve">INICIO:  MARIATANA 15630
FIN: </t>
  </si>
  <si>
    <t>140718</t>
  </si>
  <si>
    <t>MIRAFLORES</t>
  </si>
  <si>
    <t>MEJIA GAMBOA ENZO FRANCISCO</t>
  </si>
  <si>
    <t>74748895</t>
  </si>
  <si>
    <t>pub309</t>
  </si>
  <si>
    <t xml:space="preserve">INICIO: PLAZA DE ARMAS S/N
FIN: </t>
  </si>
  <si>
    <t>140808</t>
  </si>
  <si>
    <t>HUARAL</t>
  </si>
  <si>
    <t>PACARAOS</t>
  </si>
  <si>
    <t>HUAYPAR ACURIO SEBASTIAN ENRIQUE</t>
  </si>
  <si>
    <t>73014727</t>
  </si>
  <si>
    <t>pub310</t>
  </si>
  <si>
    <t xml:space="preserve">INICIO: AV ALONSO DE MESSIAS S/N
FIN: </t>
  </si>
  <si>
    <t>140721</t>
  </si>
  <si>
    <t>QUINOCAY</t>
  </si>
  <si>
    <t>RIOS PAZ ZHARICK MAYARENE</t>
  </si>
  <si>
    <t>72534247</t>
  </si>
  <si>
    <t>pub311</t>
  </si>
  <si>
    <t xml:space="preserve">INICIO: PLAZA DE ARMAS CON JR. LIMA
FIN: </t>
  </si>
  <si>
    <t>SUCA MARIÑO PATRICK RAUL</t>
  </si>
  <si>
    <t>74087403</t>
  </si>
  <si>
    <t>pub312</t>
  </si>
  <si>
    <t>140614</t>
  </si>
  <si>
    <t>SAN ANDRES DE TUPICOCHA</t>
  </si>
  <si>
    <t>LEÓN LEÓN OSCAR VICTOR ANTONIO</t>
  </si>
  <si>
    <t>70403260</t>
  </si>
  <si>
    <t>pub313</t>
  </si>
  <si>
    <t xml:space="preserve">INICIO: JIRON PROGRESO S/N
FIN: </t>
  </si>
  <si>
    <t>MANRIQUE MARTINEZ FABRICIO CARLOS ENRIQUE</t>
  </si>
  <si>
    <t>75235817</t>
  </si>
  <si>
    <t>pub314</t>
  </si>
  <si>
    <t>140617</t>
  </si>
  <si>
    <t>SAN DAMIAN</t>
  </si>
  <si>
    <t>LAGUNA SANTA CRUZ OSCAR ISAAC</t>
  </si>
  <si>
    <t>70385195</t>
  </si>
  <si>
    <t>pub315</t>
  </si>
  <si>
    <t xml:space="preserve">INICIO:  JR MANCO CAPAC CON JR AREQUIPA
FIN: </t>
  </si>
  <si>
    <t>JESUS JOAQUIN SALAS HUAPAYA</t>
  </si>
  <si>
    <t>76578583</t>
  </si>
  <si>
    <t>pub316</t>
  </si>
  <si>
    <t>140619</t>
  </si>
  <si>
    <t>SAN JUAN DE TANTARANCHE</t>
  </si>
  <si>
    <t>PANTIGOSO MORAN NOEMI VALERIA</t>
  </si>
  <si>
    <t>74315724</t>
  </si>
  <si>
    <t>pub317</t>
  </si>
  <si>
    <t xml:space="preserve">INICIO: JR UNIÓN S/N, PLAZA PRINCIPAL
FIN: </t>
  </si>
  <si>
    <t>140621</t>
  </si>
  <si>
    <t>SAN MATEO</t>
  </si>
  <si>
    <t>MEDRANO CANGALAYA GIORDANO</t>
  </si>
  <si>
    <t>61213444</t>
  </si>
  <si>
    <t>pub318</t>
  </si>
  <si>
    <t xml:space="preserve">INICIO: JR. LIMA AL COSTADO DEL COLEGIO JOSE OBRERO
FIN: </t>
  </si>
  <si>
    <t>140723</t>
  </si>
  <si>
    <t>SAN PEDRO DE PILAS</t>
  </si>
  <si>
    <t>INCIO OCHOCHOQUE NADIA ANDREA</t>
  </si>
  <si>
    <t>72281406</t>
  </si>
  <si>
    <t>pub319</t>
  </si>
  <si>
    <t xml:space="preserve">INICIO:  SAN PEDRO DE PILAS 30801
FIN: </t>
  </si>
  <si>
    <t>VILLA GOMEZ HUGO HAFID</t>
  </si>
  <si>
    <t>74992056</t>
  </si>
  <si>
    <t>pub320</t>
  </si>
  <si>
    <t>140626</t>
  </si>
  <si>
    <t>SANTIAGO DE ANCHUCAYA</t>
  </si>
  <si>
    <t>RUIZ GASPAR OMAR EDU</t>
  </si>
  <si>
    <t>72717036</t>
  </si>
  <si>
    <t>pub321</t>
  </si>
  <si>
    <t xml:space="preserve">INICIO: AV FLORAL S/N
FIN: </t>
  </si>
  <si>
    <t>140628</t>
  </si>
  <si>
    <t>SANTO DOMINGO DE LOS OLLEROS</t>
  </si>
  <si>
    <t>GISMONDI PEÑARANDA MIRELLA VANESSA</t>
  </si>
  <si>
    <t>45191501</t>
  </si>
  <si>
    <t>pub322</t>
  </si>
  <si>
    <t xml:space="preserve">INICIO:  CALLE PRINCIPAL JOSE FAUSTINO SANCHEZ CARRION
FIN: </t>
  </si>
  <si>
    <t>140724</t>
  </si>
  <si>
    <t>TANTA</t>
  </si>
  <si>
    <t>ARIAS PRADO NICOLLE JUANA</t>
  </si>
  <si>
    <t>75603835</t>
  </si>
  <si>
    <t>pub323</t>
  </si>
  <si>
    <t xml:space="preserve">INICIO:  PLAZA DE ARMAS S/N
FIN: </t>
  </si>
  <si>
    <t>NO PUDO LLEGAR DEBIDO A BLOQUEO DE CARRETERAS Y LLUVIAS</t>
  </si>
  <si>
    <t>LLEGÓ AL DISTRITO</t>
  </si>
  <si>
    <t>140725</t>
  </si>
  <si>
    <t>TAURIPAMPA</t>
  </si>
  <si>
    <t>PONCE MEDINA ANYELI YULISSA</t>
  </si>
  <si>
    <t>77428486</t>
  </si>
  <si>
    <t>pub324</t>
  </si>
  <si>
    <t xml:space="preserve">INICIO:  JR PROGRESO S/N
FIN: </t>
  </si>
  <si>
    <t>140727</t>
  </si>
  <si>
    <t>TOMAS</t>
  </si>
  <si>
    <t>PUBLICADOR DESISTIO</t>
  </si>
  <si>
    <t>pub325</t>
  </si>
  <si>
    <t>140729</t>
  </si>
  <si>
    <t>VITIS</t>
  </si>
  <si>
    <t>OBREGON DE LA FUENTE JOSEPH JAIR</t>
  </si>
  <si>
    <t>73087688</t>
  </si>
  <si>
    <t>pub326</t>
  </si>
  <si>
    <t xml:space="preserve">INICIO: PLAZA PRINCIPAL S/N
FIN: </t>
  </si>
  <si>
    <t>SAUCEDO PINTADO DANIELA JAZMIN</t>
  </si>
  <si>
    <t>73085628</t>
  </si>
  <si>
    <t>pub327</t>
  </si>
  <si>
    <t>150102</t>
  </si>
  <si>
    <t>LORETO</t>
  </si>
  <si>
    <t>MAYNAS</t>
  </si>
  <si>
    <t>ALTO NANAY</t>
  </si>
  <si>
    <t>BENZAQUEN AREVALO ELIZABETH</t>
  </si>
  <si>
    <t>47172027</t>
  </si>
  <si>
    <t>pub328</t>
  </si>
  <si>
    <t>JR OR IQUITOS</t>
  </si>
  <si>
    <t>ELGER NACHNATE ARIMOYA</t>
  </si>
  <si>
    <t xml:space="preserve">INICIO:  SANTA MARIA DE ALTO NANAY
FIN: </t>
  </si>
  <si>
    <t>150402</t>
  </si>
  <si>
    <t>REQUENA</t>
  </si>
  <si>
    <t>ALTO TAPICHE</t>
  </si>
  <si>
    <t>DOZA DEL AGUILA RICARDO ARIEL</t>
  </si>
  <si>
    <t>70880546</t>
  </si>
  <si>
    <t>pub329</t>
  </si>
  <si>
    <t>PAP REQUENA</t>
  </si>
  <si>
    <t>GUILLERMO LACHI MORALES</t>
  </si>
  <si>
    <t xml:space="preserve">INICIO:  CALLE AMAZONA S/N
FIN: </t>
  </si>
  <si>
    <t>CHAPOÑAN ENCALADA ALONSO RAUL</t>
  </si>
  <si>
    <t>74227776</t>
  </si>
  <si>
    <t>pub330</t>
  </si>
  <si>
    <t>150702</t>
  </si>
  <si>
    <t>DATEM DEL MARAÑON</t>
  </si>
  <si>
    <t>ANDOAS</t>
  </si>
  <si>
    <t>MACHA TEJEDA DORIAN FRANCISCO</t>
  </si>
  <si>
    <t>72415279</t>
  </si>
  <si>
    <t>pub331</t>
  </si>
  <si>
    <t>AG ALTO AMAZONAS</t>
  </si>
  <si>
    <t>PEDRO CASTILLO SANTA MARIA</t>
  </si>
  <si>
    <t>IP 2330</t>
  </si>
  <si>
    <t xml:space="preserve">INICIO: JR. CHAVEZ S/N - INSTITUCION EDUCATIVA PUBLICA 62140 - ALIANZA CRISTIANA
FIN: </t>
  </si>
  <si>
    <t>GREMARY LOPEZ</t>
  </si>
  <si>
    <t>- NO HAY CONEXION DE INTERNET, PERO SI SEÑAL DE MOVISTAR.
- HAY INTERNET DE 5 A 10PM</t>
  </si>
  <si>
    <t>150202</t>
  </si>
  <si>
    <t>ALTO AMAZONAS</t>
  </si>
  <si>
    <t>BALSAPUERTO</t>
  </si>
  <si>
    <t>LINARES HIDALGO JOHNNY ROBERT</t>
  </si>
  <si>
    <t>43349181</t>
  </si>
  <si>
    <t>pub332</t>
  </si>
  <si>
    <t xml:space="preserve">INICIO: JR. MOYOBAMBA S/N - JUZGADO DE PAZ
FIN: </t>
  </si>
  <si>
    <t>150701</t>
  </si>
  <si>
    <t>BARRANCA</t>
  </si>
  <si>
    <t>CABELLO JULCAPOMA ARTURO ANDRES</t>
  </si>
  <si>
    <t>45586729</t>
  </si>
  <si>
    <t>pub333</t>
  </si>
  <si>
    <t>21/04/2026
RECOGE EN AGENCIA COMPLETO</t>
  </si>
  <si>
    <t>150703</t>
  </si>
  <si>
    <t>CAHUAPANAS</t>
  </si>
  <si>
    <t>RODRIGUEZ CRUZ CHRISTIAN ENRIQUE</t>
  </si>
  <si>
    <t>08160655</t>
  </si>
  <si>
    <t>pub334</t>
  </si>
  <si>
    <t xml:space="preserve">INICIO: BARRIO 28 DE JULIO S/N - TAMBO C.N. SANTA MARIA DE CAHUAPANAS
FIN: </t>
  </si>
  <si>
    <t>150403</t>
  </si>
  <si>
    <t>CAPELO</t>
  </si>
  <si>
    <t>GARAY DINIS DANIKA JOURNETH</t>
  </si>
  <si>
    <t>71910980</t>
  </si>
  <si>
    <t>pub335</t>
  </si>
  <si>
    <t xml:space="preserve">INICIO: CALLE MARIA INMACULADA S/N - IPRESST 3 FLOR DE PUNGA
FIN: </t>
  </si>
  <si>
    <t>JHON STALIN CARDOZO LOZANO</t>
  </si>
  <si>
    <t>71275749</t>
  </si>
  <si>
    <t>pub336</t>
  </si>
  <si>
    <t>150501</t>
  </si>
  <si>
    <t>UCAYALI</t>
  </si>
  <si>
    <t>CONTAMANA</t>
  </si>
  <si>
    <t>ARIMUYA GARCIA PIER FRANCO</t>
  </si>
  <si>
    <t>70226691</t>
  </si>
  <si>
    <t>pub337</t>
  </si>
  <si>
    <t>VIVE AHI UU</t>
  </si>
  <si>
    <t xml:space="preserve">INICIO: CALLE PROLONGACION AMAZONAS S/N - BARBERIA EL PADRINO
FIN: </t>
  </si>
  <si>
    <t>150404</t>
  </si>
  <si>
    <t>EMILIO SAN MARTIN</t>
  </si>
  <si>
    <t>AREVALO YASAKAMA ELVIRA MARIA</t>
  </si>
  <si>
    <t>45085147</t>
  </si>
  <si>
    <t>pub338</t>
  </si>
  <si>
    <t xml:space="preserve">INICIO: CALLE WALTER SALAZAR SOUZA S/N
FIN: </t>
  </si>
  <si>
    <t>CANDIDATO SE ACERCO Y SE PUSO A TOMAR FOTOS, SOLICITO QUE SE RETIRARAN DE ESE LOCAL DE PUBLICACION, YA QUE AFIRMABA QUE DICHA VIVIENDA PERTENECIA A UN PARTIDO POLITICO.
- SE OPTO POR RETIRAR EL PADRON YA QUE EMEPZO A LLAMAR A MAS PERSONAS Y ESTAS PASABAN TOMANDO FOTOS AL PADRON PUBLICADO.</t>
  </si>
  <si>
    <t>MONTELUIS DIAZ XENY STEFANIA</t>
  </si>
  <si>
    <t>70424826</t>
  </si>
  <si>
    <t>pub339</t>
  </si>
  <si>
    <t>150103</t>
  </si>
  <si>
    <t>FERNANDO LORES</t>
  </si>
  <si>
    <t>HIDALGO PIÑA MIRIAN</t>
  </si>
  <si>
    <t>72197560</t>
  </si>
  <si>
    <t>pub340</t>
  </si>
  <si>
    <t xml:space="preserve">INICIO: AV ALAYSA PAZ SOLDAN N° 2 - INSTITUTO CETPRO
FIN: </t>
  </si>
  <si>
    <t>150506</t>
  </si>
  <si>
    <t>INAHUAYA</t>
  </si>
  <si>
    <t>VASQUEZ MERA ALBERTO NICOLAS</t>
  </si>
  <si>
    <t>72112850</t>
  </si>
  <si>
    <t>pub341</t>
  </si>
  <si>
    <t>21/04/2026 
EN CAMINO, LLEGARA TARDE HOY AVANZARA CON EL OFICIO DE REGISTRP CIVIL ETCCC</t>
  </si>
  <si>
    <t xml:space="preserve">INICIO: JR. LIBERTAD S/N - REF. AL COSTADO DEL MERCADO SANTA ROSA DE INAHUAYA
FIN: </t>
  </si>
  <si>
    <t>-SE HARA UN CAMBIO DE LUGAR DE PUBLICACION, YA QUE LA CASA DEL CIUDADANO DONDE SE ENCONTRABA PUBLICANDO PERTENECE A UN PARTIDO POLITICO.
-NUEVA DIRECCION: JR. INDEPENDENCIA S/N.
- DEBIDO A LAS FUERTES LLUVIAS, EL PADRON SE VIO AFECTADO Y SE MOJO, SE PROCEDERA A USAR LA COPIA
-SE REPORTAN FUERTES LLUVIAS.</t>
  </si>
  <si>
    <t>NUEVA DIRECCION: I.E. 64253 
- JR. UNION S/N 
SE CAMBIO PORQUE PERTENEC3E A OTRO PARTIDO POLITICO</t>
  </si>
  <si>
    <t>150205</t>
  </si>
  <si>
    <t>JEBEROS</t>
  </si>
  <si>
    <t>ARANDA SABOYA LUZ JUANA</t>
  </si>
  <si>
    <t>77246645</t>
  </si>
  <si>
    <t>pub342</t>
  </si>
  <si>
    <t xml:space="preserve">INICIO: CALLE BOLIVAR S/N - OFICINA DESCENTRALIZADA DE EDUCACIÓN RURAL (ODER) JEBREOS
FIN: </t>
  </si>
  <si>
    <t>150206</t>
  </si>
  <si>
    <t>LAGUNAS</t>
  </si>
  <si>
    <t> SALDAÑA GUERRERO CINTHYA MILAGROS</t>
  </si>
  <si>
    <t>71445569</t>
  </si>
  <si>
    <t>pub343</t>
  </si>
  <si>
    <t xml:space="preserve">INICIO: CALLE MIRAFLORES S/N - RESTAURANTE LOS TRES HERMANOS
FIN: </t>
  </si>
  <si>
    <t>150704</t>
  </si>
  <si>
    <t>MANSERICHE</t>
  </si>
  <si>
    <t>SEPULVEDA DE LA CRUZ ENRIQUE ANTONIO</t>
  </si>
  <si>
    <t>42050494</t>
  </si>
  <si>
    <t>pub344</t>
  </si>
  <si>
    <t>IMPRIMIENDO EN AGENCIA</t>
  </si>
  <si>
    <t xml:space="preserve">INICIO: CALLE CAPIRONA S/N PLAZA DE LA PAZ - LOCAL MULTIUSO
FIN: </t>
  </si>
  <si>
    <t>150405</t>
  </si>
  <si>
    <t>MAQUIA</t>
  </si>
  <si>
    <t>MORELL AREVALO JUAN</t>
  </si>
  <si>
    <t>41939730</t>
  </si>
  <si>
    <t>pub345</t>
  </si>
  <si>
    <t>20/04/2026
GIORDANO RECOGE</t>
  </si>
  <si>
    <t xml:space="preserve">INICIO: AV TALARA S/N - MULTISERVICIOS JAYVI
FIN: </t>
  </si>
  <si>
    <t>BRONCANO ALEGRE GIORDANO ANDRÉ</t>
  </si>
  <si>
    <t>71119893</t>
  </si>
  <si>
    <t>pub346</t>
  </si>
  <si>
    <t>20/04/20206
RECOGE EN AGENCIA TODO COMPLETO</t>
  </si>
  <si>
    <t>150105</t>
  </si>
  <si>
    <t>MAZAN</t>
  </si>
  <si>
    <t>TORRES BARDALES LUZ CRISTINA</t>
  </si>
  <si>
    <t>71091677</t>
  </si>
  <si>
    <t>pub347</t>
  </si>
  <si>
    <t xml:space="preserve">INICIO: CALLE 30N DE AGOSTO S/N - CASAS DE LA SEÑORA LUDITH CAPINOA GRANDEZ
FIN: </t>
  </si>
  <si>
    <t>150705</t>
  </si>
  <si>
    <t>MORONA</t>
  </si>
  <si>
    <t>GARIBAY PUZA JOSE ANGEL</t>
  </si>
  <si>
    <t>07479504</t>
  </si>
  <si>
    <t>pub348</t>
  </si>
  <si>
    <t>20/04/2026
MANDO TOD, HIZO QUEDAR LA MITAD DEL PADRON</t>
  </si>
  <si>
    <t xml:space="preserve">INICIO: MALECON MORONA S/N CON PLAZA DE ARMAS - HOSPEDAJE LEYLA
FIN: </t>
  </si>
  <si>
    <t>150106</t>
  </si>
  <si>
    <t>NAPO</t>
  </si>
  <si>
    <t>GATICA ARISTA MARY PILI ANAIS</t>
  </si>
  <si>
    <t>71777796</t>
  </si>
  <si>
    <t>pub349</t>
  </si>
  <si>
    <t xml:space="preserve">INICIO: CALLE PATRICIO MOSQUERA S/N - IGLESIA CATOLICA
FIN: </t>
  </si>
  <si>
    <t>OLORTEGUI AREVALO KASSANDRA</t>
  </si>
  <si>
    <t>71625777</t>
  </si>
  <si>
    <t>pub350</t>
  </si>
  <si>
    <t>150503</t>
  </si>
  <si>
    <t>PADRE MARQUEZ</t>
  </si>
  <si>
    <t>VELA RUIZ LADY</t>
  </si>
  <si>
    <t>70551406</t>
  </si>
  <si>
    <t>pub351</t>
  </si>
  <si>
    <t>21/004/2025</t>
  </si>
  <si>
    <t xml:space="preserve">INICIO: JR. UCAYALI S/N - FRONTIS HOSPEDAJE ALICE
FIN: </t>
  </si>
  <si>
    <t>- POR MOTIVO DE LLUVIAS FUERTES EL PUBLICADOR CAMBIO SU LUIGAR DE PUBLUICACION.
- NUEVA DIRECCION: CALLE SANTA ROSA S/N - BODEGA SARITA</t>
  </si>
  <si>
    <t>150504</t>
  </si>
  <si>
    <t> PEZO VALLES ABNER FABRIZIO (SEGURO)</t>
  </si>
  <si>
    <t>73353002</t>
  </si>
  <si>
    <t>pub352</t>
  </si>
  <si>
    <t>20/04/2026 
JUAN DIAZ RECOGE KIT COMPLETO</t>
  </si>
  <si>
    <t>21/04/2026 
ESTAN VIENDO EL TEMA DEL INTERNET, NO HAY WIWFI</t>
  </si>
  <si>
    <t xml:space="preserve">INICIO: CALLE SAN MARTIN S/N  - REF: FRENTE A LA PLAZA DE PAMPA HERMOSA - INSTITUCION EDUCATIVA INICIAL
FIN: </t>
  </si>
  <si>
    <t>DIAZ GUTIERREZ JUAN ALBERTO</t>
  </si>
  <si>
    <t>42197944</t>
  </si>
  <si>
    <t>pub353</t>
  </si>
  <si>
    <t>150302</t>
  </si>
  <si>
    <t>PARINARI</t>
  </si>
  <si>
    <t>RODRIGUEZ RIOS MAGALY DE JESUS</t>
  </si>
  <si>
    <t>45201266</t>
  </si>
  <si>
    <t>pub354</t>
  </si>
  <si>
    <t xml:space="preserve">INICIO: JIRON MARAÑON S/N - BODEGA SANDRITA
FIN: </t>
  </si>
  <si>
    <t>150706</t>
  </si>
  <si>
    <t>PASTAZA</t>
  </si>
  <si>
    <t>ESTRADA CALDERON GIANCARLO NORBERTO</t>
  </si>
  <si>
    <t>10683158</t>
  </si>
  <si>
    <t>pub355</t>
  </si>
  <si>
    <t xml:space="preserve">INICIO: FRENTE A LA PLAZA DE ARMAS PASTAZA - TIENDA DON CARLOS
FIN: </t>
  </si>
  <si>
    <t>150602</t>
  </si>
  <si>
    <t>MARISCAL RAMON CASTILLA</t>
  </si>
  <si>
    <t>PEBAS</t>
  </si>
  <si>
    <t>CARRASCO MEJIA IVANNA GABRIELA</t>
  </si>
  <si>
    <t>74356068</t>
  </si>
  <si>
    <t>pub356</t>
  </si>
  <si>
    <t xml:space="preserve">INICIO:  CALLE BRASIL S/N
FIN: </t>
  </si>
  <si>
    <t>150901</t>
  </si>
  <si>
    <t>PUTUMAYO</t>
  </si>
  <si>
    <t>DORADO CASTRO CATHERINE DEL CARMEN</t>
  </si>
  <si>
    <t>05340189</t>
  </si>
  <si>
    <t>pub357</t>
  </si>
  <si>
    <t>21/04/2026 
PRESENTAN LOS OFICIOS AMUNICIPALIDAD Y RESGITRO MAÑANA
aun no salen, temas de clima en el aeropuerto, vuelo retasado</t>
  </si>
  <si>
    <t xml:space="preserve">INICIO: CALLE PUTUMAYO CON 28 DE JULIO S/N -  PVF - ELL ESTRECHO (PNP)
FIN: </t>
  </si>
  <si>
    <t>ZAMORA PACHECO BLANCA LUZ</t>
  </si>
  <si>
    <t>44981129</t>
  </si>
  <si>
    <t>pub358</t>
  </si>
  <si>
    <t>21/04/2026 
aun no salen, temas de clima en el aeropuerto, vuelo retasado</t>
  </si>
  <si>
    <t>150601</t>
  </si>
  <si>
    <t>RAMON CASTILLA</t>
  </si>
  <si>
    <t>CRISTIAN MARTIN LOZANO TOTE</t>
  </si>
  <si>
    <t>48177576</t>
  </si>
  <si>
    <t>pub359</t>
  </si>
  <si>
    <t xml:space="preserve">INICIO: CALLE LEONCIO PRADO LT 213 - PUESTO DE CONTROL MIGRATORIO DE CABALLOCOCHA
FIN: </t>
  </si>
  <si>
    <t>Puesto de control migratorio</t>
  </si>
  <si>
    <t>150401</t>
  </si>
  <si>
    <t>LOPEZ SALDAÑA KELLY ROSSANA</t>
  </si>
  <si>
    <t>06784119</t>
  </si>
  <si>
    <t>pub360</t>
  </si>
  <si>
    <t>SE ENCUENTRA DE VIAJE, INICIA EL 23, SE  COMUNICO A CLAUDIA</t>
  </si>
  <si>
    <t xml:space="preserve">INICIO: CALLE SAN FRANCISCO DE ASIS 126 / COMISARIA SECTORIAL DE REQUENA
FIN: </t>
  </si>
  <si>
    <t>150902</t>
  </si>
  <si>
    <t>ROSA PANDURO</t>
  </si>
  <si>
    <t>ACHIN FLORES YANELDA MARINA</t>
  </si>
  <si>
    <t>81373871</t>
  </si>
  <si>
    <t>pub361</t>
  </si>
  <si>
    <t>JR OR IQUITOS - PUTUMAYO</t>
  </si>
  <si>
    <t xml:space="preserve">INICIO: CALLE COMPATRIOTA S/N - COLEGIO CEBA
FIN: </t>
  </si>
  <si>
    <t>RUBIO SOSA JAZMIN</t>
  </si>
  <si>
    <t>76854019</t>
  </si>
  <si>
    <t>pub362</t>
  </si>
  <si>
    <t>150604</t>
  </si>
  <si>
    <t>GONGORA PIZANGO ALIN</t>
  </si>
  <si>
    <t>48470560</t>
  </si>
  <si>
    <t>927561252/952599523</t>
  </si>
  <si>
    <t>pub363</t>
  </si>
  <si>
    <t xml:space="preserve">INICIO: CALLE MOYOBAMBA S/N - CASA MATERNA S/N
FIN: </t>
  </si>
  <si>
    <t>150210</t>
  </si>
  <si>
    <t>SANTA CRUZ</t>
  </si>
  <si>
    <t>TORRES TUESTA GRECIA KATERINE</t>
  </si>
  <si>
    <t>70840844</t>
  </si>
  <si>
    <t>pub364</t>
  </si>
  <si>
    <t xml:space="preserve">CLUB DE MADRES
BARRIO LA PLAZA
INICIO: 22/04/2026
FIN: </t>
  </si>
  <si>
    <t>REGISTRADOR CIVIL, AUTORIDADES, CATASTRO</t>
  </si>
  <si>
    <t>MALE CHINCHAY</t>
  </si>
  <si>
    <t>Se apersonó el subprefecto a tomar foto de la LPI.</t>
  </si>
  <si>
    <t>Se apersonó un ciudadano en estado de ebriedad a exigir que le permita tomar fotos al LPI señalando que su abogado le indicó que era "su derecho". Dijo que quería hacer una lista con los golondrinos.</t>
  </si>
  <si>
    <t>150407</t>
  </si>
  <si>
    <t>SAQUENA</t>
  </si>
  <si>
    <t>CARIHUASAIRO MONTELUIS MAX</t>
  </si>
  <si>
    <t>45591763</t>
  </si>
  <si>
    <t>pub365</t>
  </si>
  <si>
    <t xml:space="preserve">AUDITORIO DEL PUEBLO
CALLE AREQUIPA S/N
INICIO: 22/04/2026
FIN: </t>
  </si>
  <si>
    <t>CHISTAMA TORRES JANE</t>
  </si>
  <si>
    <t>44911521</t>
  </si>
  <si>
    <t>pub366</t>
  </si>
  <si>
    <t>150505</t>
  </si>
  <si>
    <t>SARAYACU</t>
  </si>
  <si>
    <t>PAREDES IZQUIERDO ANGELITA (VLL)</t>
  </si>
  <si>
    <t>44547223</t>
  </si>
  <si>
    <t>pub367</t>
  </si>
  <si>
    <t xml:space="preserve">IES DOS DE MAYO
CALLE CELSO SOTOMARINO S/N
INICIO: 22/04/2026
FIN: </t>
  </si>
  <si>
    <t>CATASTRO, AUTORIDADES, REGISTRADOR CIVIL</t>
  </si>
  <si>
    <t>150408</t>
  </si>
  <si>
    <t>SOPLIN</t>
  </si>
  <si>
    <t>MANANITA SANCHEZ ALIX MELISSA</t>
  </si>
  <si>
    <t>70936898</t>
  </si>
  <si>
    <t>pub368</t>
  </si>
  <si>
    <t xml:space="preserve">BODEGA JOSÉ
PASAJE NEYSER S/N
INICIO: 
FIN: </t>
  </si>
  <si>
    <t>ORTIZ SANCHEZ DANIEL FERNAN</t>
  </si>
  <si>
    <t>41891794</t>
  </si>
  <si>
    <t>pub369</t>
  </si>
  <si>
    <t>150409</t>
  </si>
  <si>
    <t>TAPICHE</t>
  </si>
  <si>
    <t>MOURAO RIOS JORGE ENRIQUE</t>
  </si>
  <si>
    <t>05861304</t>
  </si>
  <si>
    <t>pub370</t>
  </si>
  <si>
    <t xml:space="preserve">PUESTO DE SALUD - IBERIA
CALLE IBERIA S/N
INICIO: 22/04/2026
FIN: </t>
  </si>
  <si>
    <t>TELLO LOPEZ JULIO CESAR</t>
  </si>
  <si>
    <t>71102229</t>
  </si>
  <si>
    <t>pub371</t>
  </si>
  <si>
    <t>150211</t>
  </si>
  <si>
    <t>TENIENTE CESAR LOPEZ ROJAS</t>
  </si>
  <si>
    <t>LEYVA HUAYUNGA KAREN LUCIA</t>
  </si>
  <si>
    <t>62385203</t>
  </si>
  <si>
    <t>pub372</t>
  </si>
  <si>
    <t xml:space="preserve">JARDIN 40
CALLE TENIENTE CESAR LOPEZ 
INICIO: 22/04/2026
FIN: </t>
  </si>
  <si>
    <t>Instalado tarde por las lluvias.</t>
  </si>
  <si>
    <t>VARGAS MAS JOSE RODOLFO</t>
  </si>
  <si>
    <t>77470605</t>
  </si>
  <si>
    <t>956 825 219</t>
  </si>
  <si>
    <t>pub373</t>
  </si>
  <si>
    <t>150903</t>
  </si>
  <si>
    <t>TENIENTE MANUEL CLAVERO</t>
  </si>
  <si>
    <t>CHOTA MARTINEZ LEYDER YAIR</t>
  </si>
  <si>
    <t>72619322</t>
  </si>
  <si>
    <t>pub374</t>
  </si>
  <si>
    <t>JR OR IQUITOS - SOPLIN VARGAS</t>
  </si>
  <si>
    <t xml:space="preserve">ESCENARIO PLAZA DE ARMAS
INICIO: 22/04/2026
FIN: </t>
  </si>
  <si>
    <t>GARCES MANUYAMA FIORALVA MARIA</t>
  </si>
  <si>
    <t>72619328</t>
  </si>
  <si>
    <t>pub375</t>
  </si>
  <si>
    <t>150303</t>
  </si>
  <si>
    <t>TIGRE</t>
  </si>
  <si>
    <t>ASPAJO ISUIZA DE NUÑEZ NURIA RAQUEL</t>
  </si>
  <si>
    <t>45387381</t>
  </si>
  <si>
    <t>pub376</t>
  </si>
  <si>
    <t xml:space="preserve">COMISARÍA PNP INTUTO
CALLE MUNICIPAL S/N
INICIO: 22/04/2026
FIN: </t>
  </si>
  <si>
    <t>GARCIA ORELLANA LUIS ALBERTO</t>
  </si>
  <si>
    <t>72308461</t>
  </si>
  <si>
    <t>pub377</t>
  </si>
  <si>
    <t>150108</t>
  </si>
  <si>
    <t>TORRES CAUSANA</t>
  </si>
  <si>
    <t> HUAMAN TUESTA BRIDGEMAN</t>
  </si>
  <si>
    <t>40903537</t>
  </si>
  <si>
    <t>pub378</t>
  </si>
  <si>
    <t>Inicia el 23, indica problemas de transporte</t>
  </si>
  <si>
    <t xml:space="preserve">HOSPEDAJE MUNICIPAL
CALLE PANTOJA S/N
INICIO: 23/04/2026
FIN: </t>
  </si>
  <si>
    <t>COMISARIA, CATASTRO, REGISTRADOR CIVIL</t>
  </si>
  <si>
    <t>Publicará el 23 porque tuvo problemas para el traslado. Se encuentra en ruta.</t>
  </si>
  <si>
    <t>150305</t>
  </si>
  <si>
    <t>TROMPETEROS</t>
  </si>
  <si>
    <t>MACHADO SALAS CYNTHIA</t>
  </si>
  <si>
    <t>43016770</t>
  </si>
  <si>
    <t>pub379</t>
  </si>
  <si>
    <t>Va a publicar en Nauta - personal RENIEC</t>
  </si>
  <si>
    <t>Publicación en agencia de Nauta</t>
  </si>
  <si>
    <t xml:space="preserve">CENTRO CÍVICO - PAP NAUTA
CALLE MANU PACAYA 570
INICIO: 
FIN: </t>
  </si>
  <si>
    <t>150304</t>
  </si>
  <si>
    <t>URARINAS</t>
  </si>
  <si>
    <t>SANCHEZ TRIGOZO MATIAS ADRIAN</t>
  </si>
  <si>
    <t>72631372</t>
  </si>
  <si>
    <t>pub380</t>
  </si>
  <si>
    <t xml:space="preserve">IPRESS I-3 MAYPUCO
AVENIDA TOPAL S/N
INICIO: 22/04/2026
FIN: </t>
  </si>
  <si>
    <t>TORRES MURAYARI JEYMI MARILIZ</t>
  </si>
  <si>
    <t>75834989</t>
  </si>
  <si>
    <t>pub381</t>
  </si>
  <si>
    <t>150502</t>
  </si>
  <si>
    <t>VARGAS GUERRA</t>
  </si>
  <si>
    <t>VARGAS ARCOS MARY CARMEN PAOLA</t>
  </si>
  <si>
    <t>71534749</t>
  </si>
  <si>
    <t>pub382</t>
  </si>
  <si>
    <t>PARQUE VARGAS GUERRA
JIRON MALECON CORONEL PORTILLO S/N
INICIO: 22/04/2026
FIN: 22/04/2026</t>
  </si>
  <si>
    <t>CATASTRO, COMISARIA</t>
  </si>
  <si>
    <t>El alcalde del distrito exige tomar fotos a la LPI. Envió a personal al lugar de la publicación para tomar fotos al LPI</t>
  </si>
  <si>
    <t>150904</t>
  </si>
  <si>
    <t>YAGUAS</t>
  </si>
  <si>
    <t>ESTRADA CARRANZA GREGORIO MODESTO</t>
  </si>
  <si>
    <t>41052444</t>
  </si>
  <si>
    <t>pub383</t>
  </si>
  <si>
    <t xml:space="preserve">TAMBO REMANSO
CALLE OLLANTA HUMALA S/N
INICIO: 22/04/2026
FIN: </t>
  </si>
  <si>
    <t>LANZI CHAVEZ CAMILO ANDRES</t>
  </si>
  <si>
    <t>74685619</t>
  </si>
  <si>
    <t>pub496</t>
  </si>
  <si>
    <t>Desistió</t>
  </si>
  <si>
    <t>---- NO CONTESTAN</t>
  </si>
  <si>
    <t xml:space="preserve">SUAREZ CHAVEZ PAULO ALFREDO
</t>
  </si>
  <si>
    <t>61588442</t>
  </si>
  <si>
    <t>pub495</t>
  </si>
  <si>
    <t>150411</t>
  </si>
  <si>
    <t>YAQUERANA</t>
  </si>
  <si>
    <t>CIMA ARBILDO PIERO GABRIEL</t>
  </si>
  <si>
    <t>60014016</t>
  </si>
  <si>
    <t>pub384</t>
  </si>
  <si>
    <t xml:space="preserve">MUNICIPALIDAD DISTRITAL DE YAQUERANA
INICIO: 22/04/2026
FIN: </t>
  </si>
  <si>
    <t>REGISTRADOR CIVIL</t>
  </si>
  <si>
    <t>DEL CASTILLO LINARES RAMGES</t>
  </si>
  <si>
    <t>43728226</t>
  </si>
  <si>
    <t>pub385</t>
  </si>
  <si>
    <t>150603</t>
  </si>
  <si>
    <t>YAVARI</t>
  </si>
  <si>
    <t>GARCIA PIZARRO PAOLO AEXANDER</t>
  </si>
  <si>
    <t>73443238</t>
  </si>
  <si>
    <t>pub386</t>
  </si>
  <si>
    <t xml:space="preserve">OFICINA OSINERGMIN
CALLE 2 DE JULIO S/N
INICIO: 22/04/2026 
FIN: </t>
  </si>
  <si>
    <t>Otra entidad pública</t>
  </si>
  <si>
    <t>PEREZ MOYA BANESA TATIANA</t>
  </si>
  <si>
    <t>74979201</t>
  </si>
  <si>
    <t>pub387</t>
  </si>
  <si>
    <t>160202</t>
  </si>
  <si>
    <t>MADRE DE DIOS</t>
  </si>
  <si>
    <t>MANU</t>
  </si>
  <si>
    <t>FITZCARRALD</t>
  </si>
  <si>
    <t>LEON ZUÑIGA BEATRIZ JACKELINE</t>
  </si>
  <si>
    <t>72328208</t>
  </si>
  <si>
    <t>pub388</t>
  </si>
  <si>
    <t>En ruta al distrito. Indica que la vía tiene derrumbes por huaycos. Intentarán ir mañana al distrito</t>
  </si>
  <si>
    <t xml:space="preserve">BOTICA MARELL Y AZAHELL
SIN DIRECCIÓN
INICIO: 22/04/2026
FIN: </t>
  </si>
  <si>
    <t>FLORES PATIÑO ERICK</t>
  </si>
  <si>
    <t>43616704</t>
  </si>
  <si>
    <t>pub389</t>
  </si>
  <si>
    <t>160103</t>
  </si>
  <si>
    <t>TAMBOPATA</t>
  </si>
  <si>
    <t>LAS PIEDRAS</t>
  </si>
  <si>
    <t>pub390</t>
  </si>
  <si>
    <t>OR TAMBOPATA</t>
  </si>
  <si>
    <t>MARIA TRINIDAD PUMA TAPUY</t>
  </si>
  <si>
    <t>----</t>
  </si>
  <si>
    <t>160303</t>
  </si>
  <si>
    <t>TAHUAMANU</t>
  </si>
  <si>
    <t>FUENTES QUISPE ROCIO MADELEYNE</t>
  </si>
  <si>
    <t>70109982</t>
  </si>
  <si>
    <t>pub391</t>
  </si>
  <si>
    <t>AG IBERIA</t>
  </si>
  <si>
    <t>IVONNE YALTA TAPUY</t>
  </si>
  <si>
    <t xml:space="preserve">VASO DE LECHE
JIRON 17 S/N
INICIO: 22/04/2026
FIN: </t>
  </si>
  <si>
    <t>TITO SOCASAIRE GLORIA FLORA</t>
  </si>
  <si>
    <t>44995508</t>
  </si>
  <si>
    <t>pub392</t>
  </si>
  <si>
    <t>170102</t>
  </si>
  <si>
    <t>MOQUEGUA</t>
  </si>
  <si>
    <t>MARISCAL NIETO</t>
  </si>
  <si>
    <t>CARUMAS</t>
  </si>
  <si>
    <t>TAQUIRI TORO ACIRA GAUDELIA</t>
  </si>
  <si>
    <t>43902972</t>
  </si>
  <si>
    <t>pub393</t>
  </si>
  <si>
    <t xml:space="preserve">COMISARÍA DE CARUMAS
INICIO: 22/04/2026
FIN: </t>
  </si>
  <si>
    <t>170203</t>
  </si>
  <si>
    <t>GENERAL SANCHEZ CERRO</t>
  </si>
  <si>
    <t>CHOJATA</t>
  </si>
  <si>
    <t>CHAMBI CHOQUE RENATO SAUL</t>
  </si>
  <si>
    <t>71768428</t>
  </si>
  <si>
    <t>pub394</t>
  </si>
  <si>
    <t>En camino, llega 22/04/2026</t>
  </si>
  <si>
    <t xml:space="preserve">COMISARÍA DE CHOJATA
INICIO: 22/04/2026
FIN: </t>
  </si>
  <si>
    <t>170204</t>
  </si>
  <si>
    <t>ICHUÑA</t>
  </si>
  <si>
    <t>CONGONA CAMARGO JESSICA ELENA</t>
  </si>
  <si>
    <t>29726075</t>
  </si>
  <si>
    <t>pub395</t>
  </si>
  <si>
    <t xml:space="preserve">MERCADO CENTRAL ICHUÑA
CALLE AREQUIPA S/N
INICIO: 22/04/2026
FIN: </t>
  </si>
  <si>
    <t>REGISTRADOR CIVIL, AUTORIDADES, COMISARIA</t>
  </si>
  <si>
    <t xml:space="preserve">Dos ciudadanos se acercaron al lugar de publicación para tomar foto de las listas, al ser interrumpidos por las publicadoras intentaron romper las listas. </t>
  </si>
  <si>
    <t>MAMANI CORREA CAROLINA VERONICA</t>
  </si>
  <si>
    <t>41203380</t>
  </si>
  <si>
    <t>pub396</t>
  </si>
  <si>
    <t>170205</t>
  </si>
  <si>
    <t>LA CAPILLA</t>
  </si>
  <si>
    <t>SÁNCHEZ COA MARINA PILAR</t>
  </si>
  <si>
    <t>72457922</t>
  </si>
  <si>
    <t>pub397</t>
  </si>
  <si>
    <t xml:space="preserve">INICIO: IE La Capilla
FIN: </t>
  </si>
  <si>
    <t>VALERIA PALACIOS</t>
  </si>
  <si>
    <t>no envió foto de ingreso con timemark</t>
  </si>
  <si>
    <t>170206</t>
  </si>
  <si>
    <t>LLOQUE</t>
  </si>
  <si>
    <t>CARCAUSTO CASTRO DEYSI MABEL</t>
  </si>
  <si>
    <t>71347077</t>
  </si>
  <si>
    <t>pub398</t>
  </si>
  <si>
    <t>170207</t>
  </si>
  <si>
    <t>MATALAQUE</t>
  </si>
  <si>
    <t>CARBAJAL MONTES YONNY MIGUEL</t>
  </si>
  <si>
    <t>29603047</t>
  </si>
  <si>
    <t>pub399</t>
  </si>
  <si>
    <t xml:space="preserve">INICIO:  AV. UNION S/N
FIN: </t>
  </si>
  <si>
    <t>170104</t>
  </si>
  <si>
    <t>SAN CRISTOBAL</t>
  </si>
  <si>
    <t>CONTRERAS LINGHAN HEBER ELYASIB</t>
  </si>
  <si>
    <t>70616564</t>
  </si>
  <si>
    <t>pub400</t>
  </si>
  <si>
    <t xml:space="preserve">INICIO: Calle Calacoa
FIN: </t>
  </si>
  <si>
    <t>COMISARIA, CATASTRO</t>
  </si>
  <si>
    <t>170210</t>
  </si>
  <si>
    <t>UBINAS</t>
  </si>
  <si>
    <t>GAMERO LAZO GLENY DIAN</t>
  </si>
  <si>
    <t>45246176</t>
  </si>
  <si>
    <t>pub401</t>
  </si>
  <si>
    <t xml:space="preserve">INICIO: Plaza central S/N 
FIN: </t>
  </si>
  <si>
    <t>170211</t>
  </si>
  <si>
    <t>YUNGA</t>
  </si>
  <si>
    <t>CORTEZ MAMANI MELANY DEL CARMEN</t>
  </si>
  <si>
    <t>72049658</t>
  </si>
  <si>
    <t>pub402</t>
  </si>
  <si>
    <t xml:space="preserve">INICIO: Andrés Avelino S/N
FIN: </t>
  </si>
  <si>
    <t xml:space="preserve">Enviar nuevamente oficio de Catastro </t>
  </si>
  <si>
    <t>enviar acta</t>
  </si>
  <si>
    <t>180103</t>
  </si>
  <si>
    <t>PASCO</t>
  </si>
  <si>
    <t>HUACHON</t>
  </si>
  <si>
    <t>ELIZALDE ROJAS LIDA MARY</t>
  </si>
  <si>
    <t>09843474</t>
  </si>
  <si>
    <t>pub403</t>
  </si>
  <si>
    <t>AG PASCO</t>
  </si>
  <si>
    <t>CARLOS PARRA TORRES</t>
  </si>
  <si>
    <t>963943231 - IP 2440</t>
  </si>
  <si>
    <t xml:space="preserve">INICIO: Plaza principal Huachon
FIN: </t>
  </si>
  <si>
    <t>180303</t>
  </si>
  <si>
    <t>OXAPAMPA</t>
  </si>
  <si>
    <t>HUANCABAMBA</t>
  </si>
  <si>
    <t>SOTO PAULINO MABEL GLORIA</t>
  </si>
  <si>
    <t>72955013</t>
  </si>
  <si>
    <t>919500057 / 940 947 684</t>
  </si>
  <si>
    <t>pub404</t>
  </si>
  <si>
    <t>AG PASCO - OXAPAMPA</t>
  </si>
  <si>
    <t xml:space="preserve">INICIO: Calle las begonias. IE Nuestra Señora del Carmen
FIN: </t>
  </si>
  <si>
    <t>EL 14 ENVIARON LAS ACTAS DE DEFUNCIÓN.</t>
  </si>
  <si>
    <t>180307</t>
  </si>
  <si>
    <t>PALCAZU</t>
  </si>
  <si>
    <t>AGUIRRE SANCHEZ ALEXANDER JEFFERSON</t>
  </si>
  <si>
    <t>73194126</t>
  </si>
  <si>
    <t>pub405</t>
  </si>
  <si>
    <t xml:space="preserve">INICIO: Av. Juan Franzet. Sector 1
FIN: </t>
  </si>
  <si>
    <t>180108</t>
  </si>
  <si>
    <t>pub406</t>
  </si>
  <si>
    <t>Se publicará en el PAP Paucartambo</t>
  </si>
  <si>
    <t>180306</t>
  </si>
  <si>
    <t>POZUZO</t>
  </si>
  <si>
    <t>LAURO ELIAS JORGE PAUL</t>
  </si>
  <si>
    <t>42361700</t>
  </si>
  <si>
    <t>pub407</t>
  </si>
  <si>
    <t xml:space="preserve">INICIO: Reverendo Jose 571
FIN: </t>
  </si>
  <si>
    <t xml:space="preserve">El destinatario del oficio comisaría es incorrecto.
</t>
  </si>
  <si>
    <t>180304</t>
  </si>
  <si>
    <t>PUERTO BERMUDEZ</t>
  </si>
  <si>
    <t>MEDRANO ROJAS JUAN CARLOS</t>
  </si>
  <si>
    <t>60821782</t>
  </si>
  <si>
    <t>pub408</t>
  </si>
  <si>
    <t xml:space="preserve">INICIO: Av. Remigio Morales Bermudez
FIN: </t>
  </si>
  <si>
    <t>Se reportó 1pm</t>
  </si>
  <si>
    <t>180111</t>
  </si>
  <si>
    <t>TICLACAYAN</t>
  </si>
  <si>
    <t>AZUCENA VERA ZURAIDA</t>
  </si>
  <si>
    <t>46421850</t>
  </si>
  <si>
    <t>931537711 / Watsap 930270262</t>
  </si>
  <si>
    <t>pub409</t>
  </si>
  <si>
    <t xml:space="preserve">INICIO: Centro de Salud Ticlacayan
FIN: </t>
  </si>
  <si>
    <t>no contestaban los mensajes, aparecieron a las 4pm</t>
  </si>
  <si>
    <t>FERNANDEZ JANAMPA NAYELI ESTEFANI</t>
  </si>
  <si>
    <t>71208161</t>
  </si>
  <si>
    <t>pub410</t>
  </si>
  <si>
    <t>me indicó su compañera que se fue a las 3pm</t>
  </si>
  <si>
    <t>180208</t>
  </si>
  <si>
    <t>DANIEL ALCIDES CARRION</t>
  </si>
  <si>
    <t>VILCABAMBA</t>
  </si>
  <si>
    <t>SANTOS AGUIRRE GUISELA ERIKA</t>
  </si>
  <si>
    <t>71245419</t>
  </si>
  <si>
    <t>pub411</t>
  </si>
  <si>
    <t xml:space="preserve">INICIO: Puesto de auxilio rápido Vilcabamba
FIN: </t>
  </si>
  <si>
    <t>180114</t>
  </si>
  <si>
    <t>YANACANCHA</t>
  </si>
  <si>
    <t>LOYOLA JANAMPA JEISON BRAHAM</t>
  </si>
  <si>
    <t>70116288</t>
  </si>
  <si>
    <t>pub412</t>
  </si>
  <si>
    <t xml:space="preserve">INICIO: Comisaría de yanacancha
FIN: </t>
  </si>
  <si>
    <t>180201</t>
  </si>
  <si>
    <t>YANAHUANCA</t>
  </si>
  <si>
    <t>CARBAJAL HERRERA JOZSELIN HARELY</t>
  </si>
  <si>
    <t>71037418</t>
  </si>
  <si>
    <t>pub413</t>
  </si>
  <si>
    <t>LLEVARÁ DECLARACIÓN JURADA</t>
  </si>
  <si>
    <t xml:space="preserve">INICIO: Jr Jorge Chavez
FIN: </t>
  </si>
  <si>
    <t>190604</t>
  </si>
  <si>
    <t>PIURA</t>
  </si>
  <si>
    <t>SULLANA</t>
  </si>
  <si>
    <t>MARCAVELICA</t>
  </si>
  <si>
    <t>ANGELES ESPINOZA CLAUDIA PATRICIA</t>
  </si>
  <si>
    <t>46175995</t>
  </si>
  <si>
    <t>pub414</t>
  </si>
  <si>
    <t>JR PIURA</t>
  </si>
  <si>
    <t>MARIA GERALDINE SALAZAR</t>
  </si>
  <si>
    <t xml:space="preserve">INICIO: Coliseo 2 mayo
FIN: </t>
  </si>
  <si>
    <t>CASTRO ESTRADA CINTHIA PATRICIA</t>
  </si>
  <si>
    <t>46748368</t>
  </si>
  <si>
    <t>pub415</t>
  </si>
  <si>
    <t>200302</t>
  </si>
  <si>
    <t>PUNO</t>
  </si>
  <si>
    <t>CARABAYA</t>
  </si>
  <si>
    <t>AJOYANI</t>
  </si>
  <si>
    <t>GUTIERREZ APAZA LIN YSMAEL</t>
  </si>
  <si>
    <t>44454332</t>
  </si>
  <si>
    <t>pub416</t>
  </si>
  <si>
    <t>JR OR PUNO</t>
  </si>
  <si>
    <t>JUAN FERNANDO VALDIVIA GUEVARA</t>
  </si>
  <si>
    <t>IP 2002</t>
  </si>
  <si>
    <t xml:space="preserve">INICIO: Mercado central 
FIN: </t>
  </si>
  <si>
    <t>200811</t>
  </si>
  <si>
    <t>SANDIA</t>
  </si>
  <si>
    <t>ALTO INAMBARI</t>
  </si>
  <si>
    <t>VILCHEZ SOLORZANO CESAR AUGUSTO</t>
  </si>
  <si>
    <t>75389476</t>
  </si>
  <si>
    <t>pub417</t>
  </si>
  <si>
    <t xml:space="preserve">INICIO: Av. agricultura S/N
FIN: </t>
  </si>
  <si>
    <t>200702</t>
  </si>
  <si>
    <t>MELGAR</t>
  </si>
  <si>
    <t>ANTAUTA</t>
  </si>
  <si>
    <t>LUJANO CONDORI GILMER AUGUSTO</t>
  </si>
  <si>
    <t>46178630</t>
  </si>
  <si>
    <t>pub418</t>
  </si>
  <si>
    <t xml:space="preserve">INICIO: Subprefectura
FIN: </t>
  </si>
  <si>
    <t>200903</t>
  </si>
  <si>
    <t>SAN ROMAN</t>
  </si>
  <si>
    <t>CABANILLAS</t>
  </si>
  <si>
    <t>CUTIPA CUTIPA NOEMI</t>
  </si>
  <si>
    <t>44868574</t>
  </si>
  <si>
    <t>pub419</t>
  </si>
  <si>
    <t xml:space="preserve">INICIO: Av Bolivar 104
FIN: </t>
  </si>
  <si>
    <t>201204</t>
  </si>
  <si>
    <t>EL COLLAO</t>
  </si>
  <si>
    <t>CAPAZO</t>
  </si>
  <si>
    <t>ESCARCENA SUPO CRISTHIAN JESUS</t>
  </si>
  <si>
    <t>73092805</t>
  </si>
  <si>
    <t>pub420</t>
  </si>
  <si>
    <t xml:space="preserve">DECLINÓ </t>
  </si>
  <si>
    <t>200304</t>
  </si>
  <si>
    <t>COASA</t>
  </si>
  <si>
    <t>CHAMBI CORNEJO DANTE</t>
  </si>
  <si>
    <t>01332585</t>
  </si>
  <si>
    <t>pub421</t>
  </si>
  <si>
    <t xml:space="preserve">INICIO: Subprefectura del distrito
FIN: </t>
  </si>
  <si>
    <t>HUAYTA MAYTA VIHANKA GIULIANA</t>
  </si>
  <si>
    <t>72129077</t>
  </si>
  <si>
    <t>pub422</t>
  </si>
  <si>
    <t>200502</t>
  </si>
  <si>
    <t>HUANCANE</t>
  </si>
  <si>
    <t>COJATA</t>
  </si>
  <si>
    <t>AJAHUANA CONDORI JUAN DE DIOS DAVO</t>
  </si>
  <si>
    <t>70085454</t>
  </si>
  <si>
    <t>pub423</t>
  </si>
  <si>
    <t xml:space="preserve">INICIO: Parroquia de Cojata
FIN: </t>
  </si>
  <si>
    <t>201205</t>
  </si>
  <si>
    <t>CONDURIRI</t>
  </si>
  <si>
    <t>CUENTAS TITO MAGDA CELEDONIA</t>
  </si>
  <si>
    <t>01296911</t>
  </si>
  <si>
    <t>pub424</t>
  </si>
  <si>
    <t xml:space="preserve">INICIO: Jr 25 de diciembre S/N
FIN: </t>
  </si>
  <si>
    <t>Presentó el oficio de comisaría en Mazocruz</t>
  </si>
  <si>
    <t>200305</t>
  </si>
  <si>
    <t>CORANI</t>
  </si>
  <si>
    <t>ARAGON QUISPE ADA MAYRA</t>
  </si>
  <si>
    <t>47159287</t>
  </si>
  <si>
    <t>pub425</t>
  </si>
  <si>
    <t xml:space="preserve">INICIO: Calle Huancarane
FIN: </t>
  </si>
  <si>
    <t xml:space="preserve">La segunda acta de apertura enviada al survey es la válida. </t>
  </si>
  <si>
    <t>200703</t>
  </si>
  <si>
    <t>CUPI</t>
  </si>
  <si>
    <t>HUISA NINA MILDRED ZENIA</t>
  </si>
  <si>
    <t>73640589</t>
  </si>
  <si>
    <t>pub426</t>
  </si>
  <si>
    <t xml:space="preserve">INICIO: Jr Mariscal Nieto S/N
FIN: </t>
  </si>
  <si>
    <t>200803</t>
  </si>
  <si>
    <t>CUYOCUYO</t>
  </si>
  <si>
    <t>MAMANI ADCO VLADIMIR</t>
  </si>
  <si>
    <t>75231907</t>
  </si>
  <si>
    <t>pub427</t>
  </si>
  <si>
    <t xml:space="preserve">INICIO: Jr Mariscal Castilla
FIN: </t>
  </si>
  <si>
    <t>200403</t>
  </si>
  <si>
    <t>CHUCUITO</t>
  </si>
  <si>
    <t>HUACULLANI</t>
  </si>
  <si>
    <t>CHAMBILLA CHAMBILLA LIZBETH MILAGROS</t>
  </si>
  <si>
    <t>75238577</t>
  </si>
  <si>
    <t>pub428</t>
  </si>
  <si>
    <t xml:space="preserve">INICIO: Plaza 28 de julio
FIN: </t>
  </si>
  <si>
    <t>PASTOR LOPEZ PATRICIA BETTY</t>
  </si>
  <si>
    <t>41324499</t>
  </si>
  <si>
    <t>pub429</t>
  </si>
  <si>
    <t>201304</t>
  </si>
  <si>
    <t>MOHO</t>
  </si>
  <si>
    <t>HUAYRAPATA</t>
  </si>
  <si>
    <t>PASSANO RAMIREZ RONALD LUIS</t>
  </si>
  <si>
    <t>70296387</t>
  </si>
  <si>
    <t>pub430</t>
  </si>
  <si>
    <t xml:space="preserve">INICIO: Jr.Damazo Quiroz S/N
FIN: </t>
  </si>
  <si>
    <t>SHINTYA VILLASECA</t>
  </si>
  <si>
    <t>200504</t>
  </si>
  <si>
    <t>INCHUPALLA</t>
  </si>
  <si>
    <t>CAIRO MENDEZ YANIRA MARTHA</t>
  </si>
  <si>
    <t>45111071</t>
  </si>
  <si>
    <t>pub431</t>
  </si>
  <si>
    <t xml:space="preserve">INICIO: Jr.Lima S/N
FIN: </t>
  </si>
  <si>
    <t>200307</t>
  </si>
  <si>
    <t>ITUATA</t>
  </si>
  <si>
    <t>LUPACA RAMOS MARISOL</t>
  </si>
  <si>
    <t>73375576</t>
  </si>
  <si>
    <t>pub432</t>
  </si>
  <si>
    <t>REGISTRADOR CIVIL, AUTORIDADES</t>
  </si>
  <si>
    <t>TIÑA APAZA MELINA GIANELA</t>
  </si>
  <si>
    <t>60759214</t>
  </si>
  <si>
    <t>pub433</t>
  </si>
  <si>
    <t>200804</t>
  </si>
  <si>
    <t>LIMBANI</t>
  </si>
  <si>
    <t>APAZA AMANQUI NIELS FERNANDO</t>
  </si>
  <si>
    <t>75937204</t>
  </si>
  <si>
    <t>pub434</t>
  </si>
  <si>
    <t>AG SAN ROMAN</t>
  </si>
  <si>
    <t>ELIZABETH QUIZA MAMANI</t>
  </si>
  <si>
    <t xml:space="preserve">INICIO: Jr.Puno S/N Barrio San Miguel
FIN: </t>
  </si>
  <si>
    <t>CANAHUIRE QUISPE DEYSI IDANIA</t>
  </si>
  <si>
    <t>44462836</t>
  </si>
  <si>
    <t>pub435</t>
  </si>
  <si>
    <t>200704</t>
  </si>
  <si>
    <t>LLALLI</t>
  </si>
  <si>
    <t>VARGAS MONTESINOS HAYMEE MARLENY</t>
  </si>
  <si>
    <t>70321091</t>
  </si>
  <si>
    <t>pub436</t>
  </si>
  <si>
    <t xml:space="preserve">INICIO: Plaza de armas
FIN: </t>
  </si>
  <si>
    <t>200301</t>
  </si>
  <si>
    <t>MACUSANI</t>
  </si>
  <si>
    <t>MAMANI QUISPE EDWIN</t>
  </si>
  <si>
    <t>80022894</t>
  </si>
  <si>
    <t>pub437</t>
  </si>
  <si>
    <t xml:space="preserve">INICIO: Jr. Raymondi 116
FIN: </t>
  </si>
  <si>
    <t>200208</t>
  </si>
  <si>
    <t>MUÑANI</t>
  </si>
  <si>
    <t>FLORES NINA DE VIZA PILAR GLADYS</t>
  </si>
  <si>
    <t>43404660</t>
  </si>
  <si>
    <t>pub438</t>
  </si>
  <si>
    <t>200605</t>
  </si>
  <si>
    <t>LAMPA</t>
  </si>
  <si>
    <t>OCUVIRI</t>
  </si>
  <si>
    <t>FLORES MAMANI FRANCO EUFEMIO</t>
  </si>
  <si>
    <t>72111233</t>
  </si>
  <si>
    <t>pub439</t>
  </si>
  <si>
    <t>200308</t>
  </si>
  <si>
    <t>OLLACHEA</t>
  </si>
  <si>
    <t>MAMANI MAMANI NORA EDITH</t>
  </si>
  <si>
    <t>70493092</t>
  </si>
  <si>
    <t>pub440</t>
  </si>
  <si>
    <t xml:space="preserve">INICIO: Jr. Akvisuri S/N
FIN: </t>
  </si>
  <si>
    <t>200606</t>
  </si>
  <si>
    <t>PALCA</t>
  </si>
  <si>
    <t>QUISPE LORENZO JUANA DELIA</t>
  </si>
  <si>
    <t>41285154</t>
  </si>
  <si>
    <t>pub441</t>
  </si>
  <si>
    <t xml:space="preserve">INICIO: Jr.Puno S/N
FIN: </t>
  </si>
  <si>
    <t>200806</t>
  </si>
  <si>
    <t>PATAMBUCO</t>
  </si>
  <si>
    <t>COILA TIÑA JESSICA MÁRIORI</t>
  </si>
  <si>
    <t>75953680</t>
  </si>
  <si>
    <t>pub442</t>
  </si>
  <si>
    <t xml:space="preserve">INICIO: Ca.Sin nombre frente al estadio Anocani.
FIN: </t>
  </si>
  <si>
    <t>200805</t>
  </si>
  <si>
    <t>PHARA</t>
  </si>
  <si>
    <t>CASAS QUISPE JAVIER CONCEPCION</t>
  </si>
  <si>
    <t>70650297</t>
  </si>
  <si>
    <t>914 814 484</t>
  </si>
  <si>
    <t>pub443</t>
  </si>
  <si>
    <t>200406</t>
  </si>
  <si>
    <t>PISACOMA</t>
  </si>
  <si>
    <t>CALLACONDO MARCA ROXANA</t>
  </si>
  <si>
    <t>70056230</t>
  </si>
  <si>
    <t>pub444</t>
  </si>
  <si>
    <t xml:space="preserve">INICIO: Jr.Cuzco S/N
FIN: </t>
  </si>
  <si>
    <t>200807</t>
  </si>
  <si>
    <t>QUIACA</t>
  </si>
  <si>
    <t>MAMANI JAHUIRA YOLI EDITH</t>
  </si>
  <si>
    <t>74562707</t>
  </si>
  <si>
    <t>pub445</t>
  </si>
  <si>
    <t>PUMA CARITA JESUS DARWIN</t>
  </si>
  <si>
    <t>46163398</t>
  </si>
  <si>
    <t>974 726 575</t>
  </si>
  <si>
    <t>pub446</t>
  </si>
  <si>
    <t>200111</t>
  </si>
  <si>
    <t>SAN ANTONIO</t>
  </si>
  <si>
    <t>LOPEZ LOPE MERCEDES</t>
  </si>
  <si>
    <t>40284851</t>
  </si>
  <si>
    <t>pub447</t>
  </si>
  <si>
    <t xml:space="preserve">INICIO: Jr.Mariategui S/N
FIN: </t>
  </si>
  <si>
    <t>200309</t>
  </si>
  <si>
    <t>SAN GABAN</t>
  </si>
  <si>
    <t>PATATINGO MOROCCO REYNA EVITH</t>
  </si>
  <si>
    <t>73638351</t>
  </si>
  <si>
    <t>pub448</t>
  </si>
  <si>
    <t xml:space="preserve">INICIO: Av.15 de Octubre S/N
FIN: </t>
  </si>
  <si>
    <t>200214</t>
  </si>
  <si>
    <t>SAN JOSE</t>
  </si>
  <si>
    <t>COILA MAMANI YESSICA</t>
  </si>
  <si>
    <t>44508687</t>
  </si>
  <si>
    <t>pub449</t>
  </si>
  <si>
    <t>200808</t>
  </si>
  <si>
    <t>SAN JUAN DEL ORO</t>
  </si>
  <si>
    <t>MAMANI VILAVILA DAYET ANAIS</t>
  </si>
  <si>
    <t>74694846</t>
  </si>
  <si>
    <t>pub450</t>
  </si>
  <si>
    <t xml:space="preserve">INICIO: Av.Agricultura
FIN: </t>
  </si>
  <si>
    <t>200812</t>
  </si>
  <si>
    <t>SAN PEDRO DE PUTINA PUNCO</t>
  </si>
  <si>
    <t>FERNANDEZ CARRION MILARD YORDANO</t>
  </si>
  <si>
    <t>78968822</t>
  </si>
  <si>
    <t>pub451</t>
  </si>
  <si>
    <t xml:space="preserve">INICIO: Av.Tambopata Frente al mcdo
FIN: </t>
  </si>
  <si>
    <t>200609</t>
  </si>
  <si>
    <t>CUCHO TURPO RENSO</t>
  </si>
  <si>
    <t>47086425</t>
  </si>
  <si>
    <t>pub452</t>
  </si>
  <si>
    <t>VELEZ GUTIERREZ YULISA LUZ</t>
  </si>
  <si>
    <t>71129385</t>
  </si>
  <si>
    <t>pub453</t>
  </si>
  <si>
    <t>201203</t>
  </si>
  <si>
    <t>SANTA ROSA</t>
  </si>
  <si>
    <t>TRELLES CARDENAS FRANCO</t>
  </si>
  <si>
    <t>47351018</t>
  </si>
  <si>
    <t>pub454</t>
  </si>
  <si>
    <t xml:space="preserve">INICIO: Jr.28 De Julio Mz K lt 1
FIN: </t>
  </si>
  <si>
    <t>201105</t>
  </si>
  <si>
    <t>SAN ANTONIO DE PUTINA</t>
  </si>
  <si>
    <t>SINA</t>
  </si>
  <si>
    <t>CONDORI JANCO LUCY</t>
  </si>
  <si>
    <t>76271835</t>
  </si>
  <si>
    <t>pub455</t>
  </si>
  <si>
    <t>QUEA MIRANDA LUZ AIDEE</t>
  </si>
  <si>
    <t>73592983</t>
  </si>
  <si>
    <t>pub456</t>
  </si>
  <si>
    <t>200112</t>
  </si>
  <si>
    <t>TIQUILLACA</t>
  </si>
  <si>
    <t>MONTORO ARUCUTIPA VERONICA</t>
  </si>
  <si>
    <t>44188867</t>
  </si>
  <si>
    <t>pub457</t>
  </si>
  <si>
    <t xml:space="preserve">INICIO: Jr.Independencia 180
FIN: </t>
  </si>
  <si>
    <t>REGISTRADOR CIVIL, COMISARIA, CATASTRO, AUTORIDADES</t>
  </si>
  <si>
    <t>200709</t>
  </si>
  <si>
    <t>UMACHIRI</t>
  </si>
  <si>
    <t>CHIPANA GUZMAN DIONE</t>
  </si>
  <si>
    <t>41471759</t>
  </si>
  <si>
    <t>pub458</t>
  </si>
  <si>
    <t>ORA AYAVIRI</t>
  </si>
  <si>
    <t>200310</t>
  </si>
  <si>
    <t>USICAYOS</t>
  </si>
  <si>
    <t>APAZA TICONA ERNESTO</t>
  </si>
  <si>
    <t>42204737</t>
  </si>
  <si>
    <t>pub459</t>
  </si>
  <si>
    <t xml:space="preserve">INICIO: Plaza Libertad S/N
FIN: </t>
  </si>
  <si>
    <t>200610</t>
  </si>
  <si>
    <t>VILAVILA</t>
  </si>
  <si>
    <t>CALSINA CHIPANA LIZ IRENE</t>
  </si>
  <si>
    <t>75485729</t>
  </si>
  <si>
    <t>pub460</t>
  </si>
  <si>
    <t>200810</t>
  </si>
  <si>
    <t>YANAHUAYA</t>
  </si>
  <si>
    <t>CHOMBO COAQUIRA JOSE FELIPE</t>
  </si>
  <si>
    <t>74654264</t>
  </si>
  <si>
    <t>pub461</t>
  </si>
  <si>
    <t>210704</t>
  </si>
  <si>
    <t>SAN MARTIN</t>
  </si>
  <si>
    <t>BELLAVISTA</t>
  </si>
  <si>
    <t>ALTO BIAVO</t>
  </si>
  <si>
    <t>CORRALES QUINTEROS YONILA YUDITH</t>
  </si>
  <si>
    <t>46606775 </t>
  </si>
  <si>
    <t>998 903 933</t>
  </si>
  <si>
    <t>pub462</t>
  </si>
  <si>
    <t>JR OR TARAPOTO</t>
  </si>
  <si>
    <t>JOSSIANA ROJAS CHONG</t>
  </si>
  <si>
    <t xml:space="preserve">INICIO: Jr.Cahuide C-2
FIN: </t>
  </si>
  <si>
    <t>ZAPATA PANDURO FRANK ROCKY</t>
  </si>
  <si>
    <t>46606775</t>
  </si>
  <si>
    <t>pub463</t>
  </si>
  <si>
    <t>210303</t>
  </si>
  <si>
    <t>LAMAS</t>
  </si>
  <si>
    <t>BARRANQUITA</t>
  </si>
  <si>
    <t>DEL AGUILA GARCIA SAUL</t>
  </si>
  <si>
    <t>42614674</t>
  </si>
  <si>
    <t>pub464</t>
  </si>
  <si>
    <t xml:space="preserve">INICIO: 22-04-2026
FIN: </t>
  </si>
  <si>
    <t>MELANIE CARBAJAL</t>
  </si>
  <si>
    <t>Centro Deportivo</t>
  </si>
  <si>
    <t>210902</t>
  </si>
  <si>
    <t>PICOTA</t>
  </si>
  <si>
    <t>BUENOS AIRES</t>
  </si>
  <si>
    <t>RIOS PANAIJO MIQUEL</t>
  </si>
  <si>
    <t>43945704</t>
  </si>
  <si>
    <t>943 301 238</t>
  </si>
  <si>
    <t>pub465</t>
  </si>
  <si>
    <t>210607</t>
  </si>
  <si>
    <t>CHIPURANA</t>
  </si>
  <si>
    <t>GARCIA LUNA ROBERTO CARLOS</t>
  </si>
  <si>
    <t>43865349</t>
  </si>
  <si>
    <t>pub466</t>
  </si>
  <si>
    <t>210608</t>
  </si>
  <si>
    <t>EL PORVENIR</t>
  </si>
  <si>
    <t>ROMERO PAREDES ARMANDO</t>
  </si>
  <si>
    <t>42117048</t>
  </si>
  <si>
    <t>pub467</t>
  </si>
  <si>
    <t>210705</t>
  </si>
  <si>
    <t>HUALLAGA</t>
  </si>
  <si>
    <t>VARGAS CARDENAS JENARO</t>
  </si>
  <si>
    <t>41676821</t>
  </si>
  <si>
    <t>pub468</t>
  </si>
  <si>
    <t>210403</t>
  </si>
  <si>
    <t>MARISCAL CACERES</t>
  </si>
  <si>
    <t>HUICUNGO</t>
  </si>
  <si>
    <t>BANDA CAMPOS KAREN JULISA</t>
  </si>
  <si>
    <t>74630218</t>
  </si>
  <si>
    <t>pub469</t>
  </si>
  <si>
    <t>210609</t>
  </si>
  <si>
    <t>HUIMBAYOC</t>
  </si>
  <si>
    <t> LOPEZ SANDOVAL MIGUEL</t>
  </si>
  <si>
    <t>72712877</t>
  </si>
  <si>
    <t>pub470</t>
  </si>
  <si>
    <t>PEZO MASS LAKY LILIANA</t>
  </si>
  <si>
    <t>46392564</t>
  </si>
  <si>
    <t>pub471</t>
  </si>
  <si>
    <t>210612</t>
  </si>
  <si>
    <t>PAPAPLAYA</t>
  </si>
  <si>
    <t>AGUILAR MARIN JHOSELYN KEISY</t>
  </si>
  <si>
    <t>74039954</t>
  </si>
  <si>
    <t>pub472</t>
  </si>
  <si>
    <t>210316</t>
  </si>
  <si>
    <t>SAN ROQUE DE CUMBAZA</t>
  </si>
  <si>
    <t>RIVERA GONZALES NAOMI STEPHANIE</t>
  </si>
  <si>
    <t>77102603</t>
  </si>
  <si>
    <t>pub473</t>
  </si>
  <si>
    <t>210910</t>
  </si>
  <si>
    <t>SHAMBOYACU</t>
  </si>
  <si>
    <t>RAMOS HUAMAN HERMELINDA</t>
  </si>
  <si>
    <t>70944437</t>
  </si>
  <si>
    <t>pub474</t>
  </si>
  <si>
    <t>AUTORIDADES, REGISTRADOR CIVIL, COMISARIA, CATASTRO</t>
  </si>
  <si>
    <t>210620</t>
  </si>
  <si>
    <t>SHAPAJA</t>
  </si>
  <si>
    <t>MENDOZA PINEDO RICARDO MARTIN</t>
  </si>
  <si>
    <t>43348614</t>
  </si>
  <si>
    <t>pub475</t>
  </si>
  <si>
    <t>210105</t>
  </si>
  <si>
    <t>MOYOBAMBA</t>
  </si>
  <si>
    <t>SORITOR</t>
  </si>
  <si>
    <t>PAREDES ROMAN KAREN PAMELA</t>
  </si>
  <si>
    <t>45955596</t>
  </si>
  <si>
    <t>pub476</t>
  </si>
  <si>
    <t>210909</t>
  </si>
  <si>
    <t>TRES UNIDOS</t>
  </si>
  <si>
    <t>SHUÑA BARTRA RENE ARMANDO</t>
  </si>
  <si>
    <t>44744709</t>
  </si>
  <si>
    <t>pub477</t>
  </si>
  <si>
    <t>220206</t>
  </si>
  <si>
    <t>TACNA</t>
  </si>
  <si>
    <t>TARATA</t>
  </si>
  <si>
    <t>ESTIQUE</t>
  </si>
  <si>
    <t>COAQUIRA QUISPE BENJAMIN ISRAEL</t>
  </si>
  <si>
    <t>60850369</t>
  </si>
  <si>
    <t>pub478</t>
  </si>
  <si>
    <t>AG TACNA</t>
  </si>
  <si>
    <t>DAVID BERNAL GONZÁLES</t>
  </si>
  <si>
    <t>IP 2820</t>
  </si>
  <si>
    <t>LAURA MAMANI SEBASTIAN ADRIANO</t>
  </si>
  <si>
    <t>72174297</t>
  </si>
  <si>
    <t>pub479</t>
  </si>
  <si>
    <t>220205</t>
  </si>
  <si>
    <t>HEROES ALBARRACIN</t>
  </si>
  <si>
    <t>FLORES CONDORI ROSMERY</t>
  </si>
  <si>
    <t>75365509</t>
  </si>
  <si>
    <t>pub480</t>
  </si>
  <si>
    <t>2. FORMATOS LEGALES, 1. TRABAJO EN CAMPO, 3. SURVEY CTO</t>
  </si>
  <si>
    <t>FLORES QUISPE JOSE ANTONIO</t>
  </si>
  <si>
    <t>45870095</t>
  </si>
  <si>
    <t>pub481</t>
  </si>
  <si>
    <t>220404</t>
  </si>
  <si>
    <t>CANDARAVE</t>
  </si>
  <si>
    <t>HUANUARA</t>
  </si>
  <si>
    <t>ADUVIRE FASABI ROCIO ALEJANDRA</t>
  </si>
  <si>
    <t>72968766</t>
  </si>
  <si>
    <t>pub482</t>
  </si>
  <si>
    <t>220108</t>
  </si>
  <si>
    <t>LAZO DIAZ ALVARO MANUEL</t>
  </si>
  <si>
    <t>71719960</t>
  </si>
  <si>
    <t>pub483</t>
  </si>
  <si>
    <t>220211</t>
  </si>
  <si>
    <t>SUSAPAYA</t>
  </si>
  <si>
    <t>CHURA MAMANI YESICA</t>
  </si>
  <si>
    <t>45396590</t>
  </si>
  <si>
    <t>957741462w
989432961</t>
  </si>
  <si>
    <t>pub484</t>
  </si>
  <si>
    <t>220201</t>
  </si>
  <si>
    <t>TICONA TICONA NATALY KATY</t>
  </si>
  <si>
    <t>73895286</t>
  </si>
  <si>
    <t>pub485</t>
  </si>
  <si>
    <t>220213</t>
  </si>
  <si>
    <t>TICACO</t>
  </si>
  <si>
    <t>FLORES TACANAHUI CYNTHIA</t>
  </si>
  <si>
    <t>75826185</t>
  </si>
  <si>
    <t>pub486</t>
  </si>
  <si>
    <t xml:space="preserve">INICIO:22-04-2026
FIN: </t>
  </si>
  <si>
    <t>250105</t>
  </si>
  <si>
    <t>CORONEL PORTILLO</t>
  </si>
  <si>
    <t>IPARIA</t>
  </si>
  <si>
    <t>SANGAMA LINARES PERCY CLAUDIO</t>
  </si>
  <si>
    <t>40787522</t>
  </si>
  <si>
    <t>pub487</t>
  </si>
  <si>
    <t>HUAMAN DIAZ NORA IVON</t>
  </si>
  <si>
    <t>40701699</t>
  </si>
  <si>
    <t>pub488</t>
  </si>
  <si>
    <t>250103</t>
  </si>
  <si>
    <t>MASISEA</t>
  </si>
  <si>
    <t>VASQUEZ VIDARTE ROSAS YAMIR ALEXANDER</t>
  </si>
  <si>
    <t>47393903</t>
  </si>
  <si>
    <t>pub489</t>
  </si>
  <si>
    <t>250401</t>
  </si>
  <si>
    <t>PURUS</t>
  </si>
  <si>
    <t>PIZARRO CRISOSTOMO ROSA ELENA</t>
  </si>
  <si>
    <t>28265491</t>
  </si>
  <si>
    <t>pub490</t>
  </si>
  <si>
    <t>TARACAYA LEGUIA EDGAR</t>
  </si>
  <si>
    <t>40993580</t>
  </si>
  <si>
    <t>951117815/956779765</t>
  </si>
  <si>
    <t>pub491</t>
  </si>
  <si>
    <t>250302</t>
  </si>
  <si>
    <t>ATALAYA</t>
  </si>
  <si>
    <t>TAHUANIA</t>
  </si>
  <si>
    <t>DAVILA SANCHEZ INGRID NICKOOL</t>
  </si>
  <si>
    <t>60373029</t>
  </si>
  <si>
    <t>pub492</t>
  </si>
  <si>
    <t>VALDERRAMA GARCIA JOSE LUIS</t>
  </si>
  <si>
    <t>47794516</t>
  </si>
  <si>
    <t>pub493</t>
  </si>
  <si>
    <t>250303</t>
  </si>
  <si>
    <t>YURUA</t>
  </si>
  <si>
    <t>pub494</t>
  </si>
  <si>
    <t>No se pudo enviar el LPI al PAP Tahuania</t>
  </si>
  <si>
    <t>LUGAR DE PUBLICACIÓN</t>
  </si>
  <si>
    <t>GRUPO DE WSP</t>
  </si>
  <si>
    <t>CORREO</t>
  </si>
  <si>
    <t>KITS</t>
  </si>
  <si>
    <t>REUNIÓN VIERNES 17</t>
  </si>
  <si>
    <t>JOAQUIN MORI</t>
  </si>
  <si>
    <t>jmorir@pucp.edu.pe</t>
  </si>
  <si>
    <t>jazminescalonaz17@gmail.com</t>
  </si>
  <si>
    <t>ana.arana@pucp.edu.pe</t>
  </si>
  <si>
    <t>jpachecoll@reniec.gob.pe</t>
  </si>
  <si>
    <t>renequispecastillo1@gmail.com</t>
  </si>
  <si>
    <t>n.lopez@pucp.edu.pe</t>
  </si>
  <si>
    <t>tflores@reniec.gob.pe</t>
  </si>
  <si>
    <t>kloayza@reniec.gob.pe</t>
  </si>
  <si>
    <t>mayca@reniec.gob.pe</t>
  </si>
  <si>
    <t>ariadna.chavezaliaga@gmail.com</t>
  </si>
  <si>
    <t>gremaryyahairalopez@gmail.com</t>
  </si>
  <si>
    <t>mchinchay@reniec.gob.pe</t>
  </si>
  <si>
    <t>palaciosvaldez.97@gmail.com</t>
  </si>
  <si>
    <t>svillaseca@reniec.gob.pe</t>
  </si>
  <si>
    <t>rcarbajal@reniec.gob.pe</t>
  </si>
  <si>
    <t>ENCARGADO DE PUBLICAR EN AGENCIA</t>
  </si>
  <si>
    <t>SOBRE EL KIT DE PUBLICACIÓN</t>
  </si>
  <si>
    <t>ITEM</t>
  </si>
  <si>
    <t>JEFATURA</t>
  </si>
  <si>
    <t>¿Dónde está el kit?</t>
  </si>
  <si>
    <t>¿Dónde se realizará la publicación?</t>
  </si>
  <si>
    <t>Cantidad de Hojas</t>
  </si>
  <si>
    <t>JR_16 - AMAZONAS</t>
  </si>
  <si>
    <t>odupis@reniec.gob.pe</t>
  </si>
  <si>
    <t>PAP CONDORCANQUI</t>
  </si>
  <si>
    <t>BORIS CHOCACA GUELAC</t>
  </si>
  <si>
    <t>72329604</t>
  </si>
  <si>
    <t>920088843</t>
  </si>
  <si>
    <t>bchocaca@reniec.gob.pe</t>
  </si>
  <si>
    <t>AG LUYA</t>
  </si>
  <si>
    <t>JR_10 - LIMA</t>
  </si>
  <si>
    <t>ajuarezc@reniec.gob.pe</t>
  </si>
  <si>
    <t>JR_09 - CUSCO</t>
  </si>
  <si>
    <t>whuamannahui@reniec.gob.pe</t>
  </si>
  <si>
    <t>JR_12 - ICA</t>
  </si>
  <si>
    <t>kmacotela@reniec.gob.pe</t>
  </si>
  <si>
    <t>AG NAZCA</t>
  </si>
  <si>
    <t>VALENZUELA MELENDEZ YANINA</t>
  </si>
  <si>
    <t>yvalenzuela@reniec.gob.pe</t>
  </si>
  <si>
    <t>MOZO HUAMAN UBER DENIS</t>
  </si>
  <si>
    <t>41786908</t>
  </si>
  <si>
    <t>umozo@reniec.gob.pe</t>
  </si>
  <si>
    <t>AG CONVENCION</t>
  </si>
  <si>
    <t>JR_14 - HUANCAVELICA</t>
  </si>
  <si>
    <t>SANCHEZ ALMONACID HEBER</t>
  </si>
  <si>
    <t>hsanchez@reniec.gob.pe</t>
  </si>
  <si>
    <t>OR CASTROVIRREYNA</t>
  </si>
  <si>
    <t>OR CATROVIRREYNA</t>
  </si>
  <si>
    <t>JR_05 - CHIMBOTE</t>
  </si>
  <si>
    <t>marcetrujillo1203@gmail.com</t>
  </si>
  <si>
    <t>JR_02 - TRUJILLO</t>
  </si>
  <si>
    <t>choyos@reniec.gob.pe</t>
  </si>
  <si>
    <t>CAXI TICONA VERONICA</t>
  </si>
  <si>
    <t>42124724</t>
  </si>
  <si>
    <t>veronicavcenec@gmail.com</t>
  </si>
  <si>
    <t>TALLEDO TIMANA MIGUEL ANGEL</t>
  </si>
  <si>
    <t>76531520</t>
  </si>
  <si>
    <t>mtalledo@reniec.gob.pe</t>
  </si>
  <si>
    <t>AG MATUCANA</t>
  </si>
  <si>
    <t>JR_04 - IQUITOS</t>
  </si>
  <si>
    <t>cmachado@reniec.gob.pe</t>
  </si>
  <si>
    <t>PAP NAUTA</t>
  </si>
  <si>
    <t>AMAO VILLAVICENCIO SANY</t>
  </si>
  <si>
    <t>74301016</t>
  </si>
  <si>
    <t>sanyamaov.19@gmail.com</t>
  </si>
  <si>
    <t>JR_15 - HUÁNUCO</t>
  </si>
  <si>
    <t>FRANKLIN MAGNO FABIAN</t>
  </si>
  <si>
    <t>200064032</t>
  </si>
  <si>
    <t>fmagno@reniec.gob.pe</t>
  </si>
  <si>
    <t>PAP PAUCARTAMBO</t>
  </si>
  <si>
    <t>ALEX ANTONIO PAREDES CHIRE</t>
  </si>
  <si>
    <t>70116519</t>
  </si>
  <si>
    <t>AG CHINCHA</t>
  </si>
  <si>
    <t>JR_11 - PUNO</t>
  </si>
  <si>
    <t>WALDIMAR ESCOBAR GUZMAN</t>
  </si>
  <si>
    <t>wescobar@reniec.gob.pe</t>
  </si>
  <si>
    <t>PAP EL COLLAO</t>
  </si>
  <si>
    <t>JR_13 - PUCALLPA</t>
  </si>
  <si>
    <t>PAP TAHUANIA</t>
  </si>
  <si>
    <t>NUMERO_PUBLICADORES</t>
  </si>
  <si>
    <t>CANTIDAD DE DISTRITOS CON PUBLICADORES</t>
  </si>
  <si>
    <t>CANTIDAD DE PUBLICADORES</t>
  </si>
  <si>
    <t>DIRECCIÓN DEL LOCAL</t>
  </si>
  <si>
    <t>JR. ORTIZ ARRIETA N°1135-1137 - CHACHAPOYAS</t>
  </si>
  <si>
    <t>DIANA ABANTO MEGO</t>
  </si>
  <si>
    <t>IP 2130</t>
  </si>
  <si>
    <t>CALLE MARISCAL URETA 1132 - JAEN</t>
  </si>
  <si>
    <t>JR INDEPENDENCIA NRO 674 - 676 - 678 BARRANCA</t>
  </si>
  <si>
    <t>JR LADISLAO ESPINAR Nª 401 ESQ. JR. E. PALACIOS - SANTA</t>
  </si>
  <si>
    <t>JR. LARREA Y LAREDO NO 764 - HUARAZ</t>
  </si>
  <si>
    <t>MANUEL ALVAREZ 800 - HUARI</t>
  </si>
  <si>
    <t>FERNÁN PACHECO SAEZ</t>
  </si>
  <si>
    <t>IP 2702</t>
  </si>
  <si>
    <t>JR. 9 DE DICIEMBRE 491</t>
  </si>
  <si>
    <t>JR UNION N°227</t>
  </si>
  <si>
    <t>JR. CESAR VALLEJO 141 - ANDAHUAYLAS</t>
  </si>
  <si>
    <t>SANTO DOMINGO N° 101 - AREQUIPA</t>
  </si>
  <si>
    <t>JR. ARICA N°125 PLAZA DE ARMAS</t>
  </si>
  <si>
    <t>JR HUAMANGA</t>
  </si>
  <si>
    <t>JR SAN MARTIN 475 - AYACUCHO</t>
  </si>
  <si>
    <t>JR. COMERCIO N° 633 - CAJAMARCA</t>
  </si>
  <si>
    <t>Avenida Balta N° 680 y esquina con Av. Elias Aguirre</t>
  </si>
  <si>
    <t>JR. 30 DE AGOSTO 852 - CHOTA - CHOTA</t>
  </si>
  <si>
    <t>AV. EL SOL # 272 (FRENTE PALACIO JUSTICIA) - CUSCO</t>
  </si>
  <si>
    <t>AV. GRAU 228  MERCADO QUILLABAMBA  - LA CONVENCION</t>
  </si>
  <si>
    <t xml:space="preserve"> IP 2624</t>
  </si>
  <si>
    <t>AV. SAN CRISTOBAL 384 - 3 ESQUINAS</t>
  </si>
  <si>
    <t>JR. MAYRO 495 HUÁNUCO</t>
  </si>
  <si>
    <t>ESQ.MUNICIPALIDAD 219 - CALLE BOLIVAR 114 - ICA</t>
  </si>
  <si>
    <t>JR. JULIO SUMAR 351</t>
  </si>
  <si>
    <t>Calle Tacna 756- Otuzco</t>
  </si>
  <si>
    <t>LUIS VARGAS ALONSO</t>
  </si>
  <si>
    <t>AV.LARCO 1096, PISO 2 URB.VISTA ALEGRE, DIST. VICTOR LARCO</t>
  </si>
  <si>
    <t>AV LIBERTADORES MZ D3 LT4A URB TERCER MUNDO - CAÑETE</t>
  </si>
  <si>
    <t>CALLE SAN ANTONIIO S/N ANEXO HOTEL MUNICIPAL</t>
  </si>
  <si>
    <t>CALLE MARISCAL CASTILLA Nº 411</t>
  </si>
  <si>
    <t>JR. LAMBAYEQUE 159</t>
  </si>
  <si>
    <t>AV. MAXIMO RODRIGUEZ Nº 124 - PLAZA DE ARMAS</t>
  </si>
  <si>
    <t>C.C. EDIFICIO 4 - OFIC. 5 SAN JUAN-YANACANCHA</t>
  </si>
  <si>
    <t>AG AREQUIPA</t>
  </si>
  <si>
    <t>ZENAIDA VALERIANO</t>
  </si>
  <si>
    <t>Calle Libertad 568 - Piura</t>
  </si>
  <si>
    <t>PASAJE LA CULTURAL, TIENDA N° 04 - JULIACA</t>
  </si>
  <si>
    <t>JR. JIMENEZ PIMENTEL  280- TARAPOTO</t>
  </si>
  <si>
    <t>CALLE DEUSTUA 173 - TACNA</t>
  </si>
  <si>
    <t>CONTRASEÑA</t>
  </si>
  <si>
    <t>¿Ya ingresaron a SurveyCTO con sus credenciales?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</si>
</sst>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d/mm/yyyy"/>
    <numFmt numFmtId="166" formatCode="dd/mm"/>
    <numFmt numFmtId="167" formatCode="dd-mm-yy"/>
  </numFmts>
  <fonts count="20">
    <font>
      <sz val="10.0"/>
      <color rgb="FF000000"/>
      <name val="Arial"/>
      <scheme val="minor"/>
    </font>
    <font>
      <b/>
      <sz val="8.0"/>
      <color rgb="FFFFFFFF"/>
      <name val="Calibri"/>
    </font>
    <font/>
    <font>
      <b/>
      <sz val="8.0"/>
      <color rgb="FF000000"/>
      <name val="Calibri"/>
    </font>
    <font>
      <sz val="8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Arial"/>
      <scheme val="minor"/>
    </font>
    <font>
      <sz val="7.0"/>
      <color rgb="FF000000"/>
      <name val="Calibri"/>
    </font>
    <font>
      <sz val="8.0"/>
      <color rgb="FF333333"/>
      <name val="Calibri"/>
    </font>
    <font>
      <u/>
      <sz val="8.0"/>
      <color rgb="FF000000"/>
      <name val="Calibri"/>
    </font>
    <font>
      <color theme="1"/>
      <name val="Arial"/>
      <scheme val="minor"/>
    </font>
    <font>
      <u/>
      <sz val="8.0"/>
      <color rgb="FF000000"/>
      <name val="Calibri"/>
    </font>
    <font>
      <u/>
      <sz val="8.0"/>
      <color rgb="FF000000"/>
      <name val="Calibri"/>
    </font>
    <font>
      <u/>
      <sz val="8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0.0"/>
      <color theme="1"/>
      <name val="Calibri"/>
    </font>
    <font>
      <b/>
      <color theme="1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26A69A"/>
        <bgColor rgb="FF26A69A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8BC34A"/>
        <bgColor rgb="FF8BC34A"/>
      </patternFill>
    </fill>
    <fill>
      <patternFill patternType="solid">
        <fgColor rgb="FF666666"/>
        <bgColor rgb="FF666666"/>
      </patternFill>
    </fill>
    <fill>
      <patternFill patternType="solid">
        <fgColor theme="6"/>
        <bgColor theme="6"/>
      </patternFill>
    </fill>
    <fill>
      <patternFill patternType="solid">
        <fgColor rgb="FFA64D79"/>
        <bgColor rgb="FFA64D79"/>
      </patternFill>
    </fill>
    <fill>
      <patternFill patternType="solid">
        <fgColor rgb="FFE8F0FE"/>
        <bgColor rgb="FFE8F0FE"/>
      </patternFill>
    </fill>
    <fill>
      <patternFill patternType="solid">
        <fgColor rgb="FFDDF2F0"/>
        <bgColor rgb="FFDDF2F0"/>
      </patternFill>
    </fill>
    <fill>
      <patternFill patternType="solid">
        <fgColor rgb="FFF8F2EB"/>
        <bgColor rgb="FFF8F2EB"/>
      </patternFill>
    </fill>
    <fill>
      <patternFill patternType="solid">
        <fgColor rgb="FFFFE6DD"/>
        <bgColor rgb="FFFFE6DD"/>
      </patternFill>
    </fill>
    <fill>
      <patternFill patternType="solid">
        <fgColor rgb="FFFCE5CD"/>
        <bgColor rgb="FFFCE5CD"/>
      </patternFill>
    </fill>
    <fill>
      <patternFill patternType="solid">
        <fgColor rgb="FFE0F7FA"/>
        <bgColor rgb="FFE0F7FA"/>
      </patternFill>
    </fill>
    <fill>
      <patternFill patternType="solid">
        <fgColor rgb="FFEEF7E3"/>
        <bgColor rgb="FFEEF7E3"/>
      </patternFill>
    </fill>
    <fill>
      <patternFill patternType="solid">
        <fgColor rgb="FFEFEFEF"/>
        <bgColor rgb="FFEFEFEF"/>
      </patternFill>
    </fill>
    <fill>
      <patternFill patternType="solid">
        <fgColor rgb="FFFEF8E3"/>
        <bgColor rgb="FFFEF8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9E6E6"/>
        <bgColor rgb="FFF9E6E6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9BBB59"/>
        <bgColor rgb="FF9BBB5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wrapText="1"/>
    </xf>
    <xf borderId="2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vertical="center"/>
    </xf>
    <xf borderId="2" fillId="11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  <xf borderId="1" fillId="13" fontId="3" numFmtId="0" xfId="0" applyAlignment="1" applyBorder="1" applyFill="1" applyFont="1">
      <alignment horizontal="center" readingOrder="0" vertical="center"/>
    </xf>
    <xf borderId="1" fillId="13" fontId="3" numFmtId="49" xfId="0" applyAlignment="1" applyBorder="1" applyFont="1" applyNumberFormat="1">
      <alignment horizontal="center" readingOrder="0" vertical="center"/>
    </xf>
    <xf borderId="1" fillId="13" fontId="3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ill="1" applyFont="1">
      <alignment horizontal="center" readingOrder="0" shrinkToFit="0" vertical="center" wrapText="1"/>
    </xf>
    <xf borderId="1" fillId="15" fontId="5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ill="1" applyFont="1">
      <alignment horizontal="center"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1" fillId="17" fontId="5" numFmtId="0" xfId="0" applyAlignment="1" applyBorder="1" applyFill="1" applyFont="1">
      <alignment horizontal="center" readingOrder="0" shrinkToFit="0" vertical="center" wrapText="1"/>
    </xf>
    <xf borderId="1" fillId="18" fontId="5" numFmtId="0" xfId="0" applyAlignment="1" applyBorder="1" applyFill="1" applyFont="1">
      <alignment horizontal="center" readingOrder="0" shrinkToFit="0" vertical="center" wrapText="1"/>
    </xf>
    <xf borderId="1" fillId="19" fontId="3" numFmtId="0" xfId="0" applyAlignment="1" applyBorder="1" applyFill="1" applyFont="1">
      <alignment horizontal="center" readingOrder="0" shrinkToFit="0" vertical="center" wrapText="1"/>
    </xf>
    <xf borderId="1" fillId="20" fontId="5" numFmtId="0" xfId="0" applyAlignment="1" applyBorder="1" applyFill="1" applyFont="1">
      <alignment horizontal="center" readingOrder="0" shrinkToFit="0" vertical="center" wrapText="1"/>
    </xf>
    <xf borderId="1" fillId="20" fontId="5" numFmtId="49" xfId="0" applyAlignment="1" applyBorder="1" applyFont="1" applyNumberFormat="1">
      <alignment horizontal="center" readingOrder="0" shrinkToFit="0" vertical="center" wrapText="1"/>
    </xf>
    <xf borderId="2" fillId="21" fontId="5" numFmtId="0" xfId="0" applyAlignment="1" applyBorder="1" applyFill="1" applyFont="1">
      <alignment horizontal="center" readingOrder="0" shrinkToFit="0" vertical="center" wrapText="1"/>
    </xf>
    <xf borderId="1" fillId="21" fontId="5" numFmtId="0" xfId="0" applyAlignment="1" applyBorder="1" applyFont="1">
      <alignment horizontal="center" readingOrder="0" shrinkToFit="0" vertical="center" wrapText="1"/>
    </xf>
    <xf borderId="1" fillId="22" fontId="5" numFmtId="0" xfId="0" applyAlignment="1" applyBorder="1" applyFill="1" applyFont="1">
      <alignment horizontal="center" readingOrder="0" shrinkToFit="0" vertical="center" wrapText="0"/>
    </xf>
    <xf borderId="1" fillId="23" fontId="6" numFmtId="0" xfId="0" applyAlignment="1" applyBorder="1" applyFill="1" applyFont="1">
      <alignment horizontal="center" readingOrder="0" shrinkToFit="0" vertical="center" wrapText="1"/>
    </xf>
    <xf borderId="1" fillId="23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6" numFmtId="164" xfId="0" applyAlignment="1" applyBorder="1" applyFont="1" applyNumberFormat="1">
      <alignment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24" fontId="4" numFmtId="0" xfId="0" applyAlignment="1" applyBorder="1" applyFill="1" applyFon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1" fillId="25" fontId="6" numFmtId="0" xfId="0" applyAlignment="1" applyBorder="1" applyFill="1" applyFont="1">
      <alignment horizontal="center" vertical="center"/>
    </xf>
    <xf borderId="1" fillId="0" fontId="7" numFmtId="0" xfId="0" applyBorder="1" applyFont="1"/>
    <xf borderId="1" fillId="0" fontId="7" numFmtId="0" xfId="0" applyAlignment="1" applyBorder="1" applyFont="1">
      <alignment shrinkToFit="0" wrapText="0"/>
    </xf>
    <xf borderId="1" fillId="16" fontId="4" numFmtId="0" xfId="0" applyAlignment="1" applyBorder="1" applyFont="1">
      <alignment horizontal="center" readingOrder="0" shrinkToFit="0" vertical="center" wrapText="1"/>
    </xf>
    <xf borderId="1" fillId="25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23" fontId="4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25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 vertical="center"/>
    </xf>
    <xf borderId="1" fillId="25" fontId="5" numFmtId="0" xfId="0" applyAlignment="1" applyBorder="1" applyFont="1">
      <alignment horizontal="center" readingOrder="0" shrinkToFit="0" vertical="center" wrapText="1"/>
    </xf>
    <xf borderId="1" fillId="24" fontId="4" numFmtId="0" xfId="0" applyAlignment="1" applyBorder="1" applyFont="1">
      <alignment horizontal="center" readingOrder="0" shrinkToFit="0" vertical="center" wrapText="1"/>
    </xf>
    <xf borderId="1" fillId="23" fontId="5" numFmtId="0" xfId="0" applyAlignment="1" applyBorder="1" applyFont="1">
      <alignment horizontal="center" readingOrder="0" shrinkToFit="0" vertical="center" wrapText="1"/>
    </xf>
    <xf borderId="1" fillId="24" fontId="4" numFmtId="0" xfId="0" applyAlignment="1" applyBorder="1" applyFont="1">
      <alignment horizontal="center" shrinkToFit="0" vertical="center" wrapText="1"/>
    </xf>
    <xf borderId="1" fillId="26" fontId="6" numFmtId="0" xfId="0" applyAlignment="1" applyBorder="1" applyFill="1" applyFont="1">
      <alignment horizontal="center" readingOrder="0" vertical="center"/>
    </xf>
    <xf borderId="1" fillId="0" fontId="4" numFmtId="49" xfId="0" applyAlignment="1" applyBorder="1" applyFont="1" applyNumberFormat="1">
      <alignment horizontal="left" readingOrder="0" shrinkToFit="0" vertical="center" wrapText="0"/>
    </xf>
    <xf borderId="1" fillId="23" fontId="5" numFmtId="0" xfId="0" applyAlignment="1" applyBorder="1" applyFont="1">
      <alignment horizontal="left" readingOrder="0" shrinkToFit="0" vertical="center" wrapText="1"/>
    </xf>
    <xf borderId="1" fillId="27" fontId="4" numFmtId="0" xfId="0" applyAlignment="1" applyBorder="1" applyFill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/>
    </xf>
    <xf borderId="1" fillId="28" fontId="4" numFmtId="0" xfId="0" applyAlignment="1" applyBorder="1" applyFill="1" applyFont="1">
      <alignment horizontal="center" readingOrder="0" shrinkToFit="0" vertical="center" wrapText="1"/>
    </xf>
    <xf borderId="1" fillId="16" fontId="4" numFmtId="0" xfId="0" applyAlignment="1" applyBorder="1" applyFont="1">
      <alignment horizontal="left" readingOrder="0" shrinkToFit="0" vertical="center" wrapText="0"/>
    </xf>
    <xf borderId="1" fillId="28" fontId="4" numFmtId="49" xfId="0" applyAlignment="1" applyBorder="1" applyFont="1" applyNumberFormat="1">
      <alignment horizontal="center" readingOrder="0" shrinkToFit="0" vertical="center" wrapText="0"/>
    </xf>
    <xf borderId="1" fillId="28" fontId="4" numFmtId="0" xfId="0" applyAlignment="1" applyBorder="1" applyFont="1">
      <alignment horizontal="center" readingOrder="0" shrinkToFit="0" vertical="center" wrapText="0"/>
    </xf>
    <xf borderId="1" fillId="28" fontId="6" numFmtId="0" xfId="0" applyAlignment="1" applyBorder="1" applyFont="1">
      <alignment horizontal="center" vertical="center"/>
    </xf>
    <xf borderId="1" fillId="28" fontId="6" numFmtId="0" xfId="0" applyAlignment="1" applyBorder="1" applyFont="1">
      <alignment horizontal="center" shrinkToFit="0" vertical="center" wrapText="1"/>
    </xf>
    <xf borderId="1" fillId="28" fontId="5" numFmtId="0" xfId="0" applyAlignment="1" applyBorder="1" applyFont="1">
      <alignment horizontal="center" readingOrder="0" shrinkToFit="0" vertical="center" wrapText="1"/>
    </xf>
    <xf borderId="1" fillId="28" fontId="4" numFmtId="0" xfId="0" applyAlignment="1" applyBorder="1" applyFont="1">
      <alignment horizontal="center" readingOrder="0" shrinkToFit="0" vertical="center" wrapText="0"/>
    </xf>
    <xf borderId="1" fillId="28" fontId="6" numFmtId="0" xfId="0" applyAlignment="1" applyBorder="1" applyFont="1">
      <alignment horizontal="center" shrinkToFit="0" vertical="center" wrapText="1"/>
    </xf>
    <xf borderId="1" fillId="28" fontId="6" numFmtId="0" xfId="0" applyAlignment="1" applyBorder="1" applyFont="1">
      <alignment vertical="center"/>
    </xf>
    <xf borderId="1" fillId="28" fontId="5" numFmtId="0" xfId="0" applyAlignment="1" applyBorder="1" applyFont="1">
      <alignment horizontal="left" readingOrder="0" shrinkToFit="0" vertical="center" wrapText="1"/>
    </xf>
    <xf borderId="1" fillId="28" fontId="7" numFmtId="0" xfId="0" applyBorder="1" applyFont="1"/>
    <xf borderId="1" fillId="28" fontId="7" numFmtId="0" xfId="0" applyAlignment="1" applyBorder="1" applyFont="1">
      <alignment shrinkToFit="0" wrapText="0"/>
    </xf>
    <xf borderId="1" fillId="28" fontId="6" numFmtId="0" xfId="0" applyAlignment="1" applyBorder="1" applyFont="1">
      <alignment vertical="bottom"/>
    </xf>
    <xf borderId="1" fillId="28" fontId="6" numFmtId="0" xfId="0" applyAlignment="1" applyBorder="1" applyFont="1">
      <alignment horizontal="center" readingOrder="0" vertical="center"/>
    </xf>
    <xf borderId="1" fillId="28" fontId="6" numFmtId="0" xfId="0" applyAlignment="1" applyBorder="1" applyFont="1">
      <alignment horizontal="center" readingOrder="0" shrinkToFit="0" vertical="center" wrapText="1"/>
    </xf>
    <xf borderId="1" fillId="28" fontId="6" numFmtId="166" xfId="0" applyAlignment="1" applyBorder="1" applyFont="1" applyNumberFormat="1">
      <alignment readingOrder="0" vertical="center"/>
    </xf>
    <xf borderId="5" fillId="28" fontId="6" numFmtId="0" xfId="0" applyAlignment="1" applyBorder="1" applyFont="1">
      <alignment vertical="bottom"/>
    </xf>
    <xf borderId="1" fillId="28" fontId="4" numFmtId="0" xfId="0" applyAlignment="1" applyBorder="1" applyFont="1">
      <alignment horizontal="center" readingOrder="0"/>
    </xf>
    <xf borderId="1" fillId="28" fontId="6" numFmtId="0" xfId="0" applyAlignment="1" applyBorder="1" applyFont="1">
      <alignment horizontal="center" readingOrder="0" shrinkToFit="0" vertical="center" wrapText="0"/>
    </xf>
    <xf borderId="1" fillId="28" fontId="6" numFmtId="0" xfId="0" applyAlignment="1" applyBorder="1" applyFont="1">
      <alignment horizontal="center"/>
    </xf>
    <xf borderId="1" fillId="28" fontId="7" numFmtId="0" xfId="0" applyAlignment="1" applyBorder="1" applyFont="1">
      <alignment readingOrder="0"/>
    </xf>
    <xf borderId="5" fillId="28" fontId="6" numFmtId="0" xfId="0" applyAlignment="1" applyBorder="1" applyFont="1">
      <alignment vertical="bottom"/>
    </xf>
    <xf borderId="1" fillId="0" fontId="6" numFmtId="167" xfId="0" applyAlignment="1" applyBorder="1" applyFont="1" applyNumberFormat="1">
      <alignment readingOrder="0" vertical="center"/>
    </xf>
    <xf borderId="1" fillId="25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29" fontId="6" numFmtId="0" xfId="0" applyAlignment="1" applyBorder="1" applyFill="1" applyFont="1">
      <alignment horizontal="center" readingOrder="0" shrinkToFit="0" vertical="center" wrapText="1"/>
    </xf>
    <xf borderId="1" fillId="29" fontId="4" numFmtId="0" xfId="0" applyAlignment="1" applyBorder="1" applyFont="1">
      <alignment horizontal="center" readingOrder="0" shrinkToFit="0" vertical="center" wrapText="1"/>
    </xf>
    <xf borderId="1" fillId="29" fontId="4" numFmtId="0" xfId="0" applyAlignment="1" applyBorder="1" applyFont="1">
      <alignment horizontal="left" readingOrder="0" shrinkToFit="0" vertical="center" wrapText="0"/>
    </xf>
    <xf borderId="1" fillId="29" fontId="4" numFmtId="49" xfId="0" applyAlignment="1" applyBorder="1" applyFont="1" applyNumberFormat="1">
      <alignment horizontal="center" readingOrder="0" shrinkToFit="0" vertical="center" wrapText="0"/>
    </xf>
    <xf borderId="1" fillId="29" fontId="4" numFmtId="0" xfId="0" applyAlignment="1" applyBorder="1" applyFont="1">
      <alignment horizontal="center" readingOrder="0" shrinkToFit="0" vertical="center" wrapText="0"/>
    </xf>
    <xf borderId="1" fillId="29" fontId="6" numFmtId="0" xfId="0" applyAlignment="1" applyBorder="1" applyFont="1">
      <alignment horizontal="center" readingOrder="0" vertical="center"/>
    </xf>
    <xf borderId="1" fillId="29" fontId="6" numFmtId="0" xfId="0" applyAlignment="1" applyBorder="1" applyFont="1">
      <alignment horizontal="center" vertical="center"/>
    </xf>
    <xf borderId="1" fillId="29" fontId="6" numFmtId="0" xfId="0" applyAlignment="1" applyBorder="1" applyFont="1">
      <alignment horizontal="center" shrinkToFit="0" vertical="center" wrapText="1"/>
    </xf>
    <xf borderId="1" fillId="29" fontId="5" numFmtId="0" xfId="0" applyAlignment="1" applyBorder="1" applyFont="1">
      <alignment horizontal="center" readingOrder="0" shrinkToFit="0" vertical="center" wrapText="1"/>
    </xf>
    <xf borderId="1" fillId="29" fontId="4" numFmtId="0" xfId="0" applyAlignment="1" applyBorder="1" applyFont="1">
      <alignment horizontal="center" readingOrder="0" shrinkToFit="0" vertical="center" wrapText="0"/>
    </xf>
    <xf borderId="1" fillId="29" fontId="6" numFmtId="0" xfId="0" applyAlignment="1" applyBorder="1" applyFont="1">
      <alignment horizontal="center" shrinkToFit="0" vertical="center" wrapText="1"/>
    </xf>
    <xf borderId="1" fillId="29" fontId="6" numFmtId="167" xfId="0" applyAlignment="1" applyBorder="1" applyFont="1" applyNumberFormat="1">
      <alignment readingOrder="0" vertical="center"/>
    </xf>
    <xf borderId="1" fillId="29" fontId="5" numFmtId="0" xfId="0" applyAlignment="1" applyBorder="1" applyFont="1">
      <alignment horizontal="left" readingOrder="0" shrinkToFit="0" vertical="center" wrapText="1"/>
    </xf>
    <xf borderId="1" fillId="29" fontId="5" numFmtId="49" xfId="0" applyAlignment="1" applyBorder="1" applyFont="1" applyNumberFormat="1">
      <alignment horizontal="center" readingOrder="0" shrinkToFit="0" vertical="center" wrapText="1"/>
    </xf>
    <xf borderId="1" fillId="29" fontId="7" numFmtId="0" xfId="0" applyBorder="1" applyFont="1"/>
    <xf borderId="1" fillId="29" fontId="7" numFmtId="0" xfId="0" applyAlignment="1" applyBorder="1" applyFont="1">
      <alignment shrinkToFit="0" wrapText="0"/>
    </xf>
    <xf borderId="1" fillId="29" fontId="6" numFmtId="0" xfId="0" applyAlignment="1" applyBorder="1" applyFont="1">
      <alignment readingOrder="0" vertical="center"/>
    </xf>
    <xf borderId="1" fillId="29" fontId="7" numFmtId="0" xfId="0" applyAlignment="1" applyBorder="1" applyFont="1">
      <alignment readingOrder="0" shrinkToFit="0" wrapText="0"/>
    </xf>
    <xf borderId="1" fillId="29" fontId="7" numFmtId="0" xfId="0" applyAlignment="1" applyBorder="1" applyFont="1">
      <alignment vertical="center"/>
    </xf>
    <xf borderId="1" fillId="29" fontId="7" numFmtId="0" xfId="0" applyAlignment="1" applyBorder="1" applyFont="1">
      <alignment readingOrder="0" shrinkToFit="0" vertical="center" wrapText="0"/>
    </xf>
    <xf borderId="1" fillId="30" fontId="6" numFmtId="0" xfId="0" applyAlignment="1" applyBorder="1" applyFill="1" applyFont="1">
      <alignment horizontal="center" readingOrder="0" shrinkToFit="0" vertical="center" wrapText="1"/>
    </xf>
    <xf borderId="1" fillId="30" fontId="4" numFmtId="0" xfId="0" applyAlignment="1" applyBorder="1" applyFont="1">
      <alignment horizontal="center" readingOrder="0" shrinkToFit="0" vertical="center" wrapText="1"/>
    </xf>
    <xf borderId="1" fillId="30" fontId="4" numFmtId="0" xfId="0" applyAlignment="1" applyBorder="1" applyFont="1">
      <alignment horizontal="left" readingOrder="0" shrinkToFit="0" vertical="center" wrapText="0"/>
    </xf>
    <xf borderId="1" fillId="30" fontId="4" numFmtId="49" xfId="0" applyAlignment="1" applyBorder="1" applyFont="1" applyNumberFormat="1">
      <alignment horizontal="center" readingOrder="0" shrinkToFit="0" vertical="center" wrapText="0"/>
    </xf>
    <xf borderId="1" fillId="30" fontId="4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center" vertical="center"/>
    </xf>
    <xf borderId="1" fillId="30" fontId="6" numFmtId="0" xfId="0" applyAlignment="1" applyBorder="1" applyFont="1">
      <alignment horizontal="center" readingOrder="0" vertical="center"/>
    </xf>
    <xf borderId="1" fillId="30" fontId="6" numFmtId="0" xfId="0" applyAlignment="1" applyBorder="1" applyFont="1">
      <alignment horizontal="center" shrinkToFit="0" vertical="center" wrapText="1"/>
    </xf>
    <xf borderId="1" fillId="30" fontId="5" numFmtId="0" xfId="0" applyAlignment="1" applyBorder="1" applyFont="1">
      <alignment horizontal="center" readingOrder="0" shrinkToFit="0" vertical="center" wrapText="1"/>
    </xf>
    <xf borderId="1" fillId="30" fontId="4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center" shrinkToFit="0" vertical="center" wrapText="1"/>
    </xf>
    <xf borderId="1" fillId="30" fontId="6" numFmtId="0" xfId="0" applyAlignment="1" applyBorder="1" applyFont="1">
      <alignment vertical="center"/>
    </xf>
    <xf borderId="1" fillId="30" fontId="5" numFmtId="0" xfId="0" applyAlignment="1" applyBorder="1" applyFont="1">
      <alignment horizontal="left" readingOrder="0" shrinkToFit="0" vertical="center" wrapText="1"/>
    </xf>
    <xf borderId="1" fillId="30" fontId="5" numFmtId="49" xfId="0" applyAlignment="1" applyBorder="1" applyFont="1" applyNumberFormat="1">
      <alignment horizontal="center" readingOrder="0" shrinkToFit="0" vertical="center" wrapText="1"/>
    </xf>
    <xf borderId="1" fillId="30" fontId="7" numFmtId="0" xfId="0" applyBorder="1" applyFont="1"/>
    <xf borderId="1" fillId="30" fontId="7" numFmtId="0" xfId="0" applyAlignment="1" applyBorder="1" applyFont="1">
      <alignment readingOrder="0" shrinkToFit="0" wrapText="0"/>
    </xf>
    <xf borderId="1" fillId="29" fontId="8" numFmtId="49" xfId="0" applyAlignment="1" applyBorder="1" applyFont="1" applyNumberFormat="1">
      <alignment horizontal="center" readingOrder="0" shrinkToFit="0" vertical="center" wrapText="0"/>
    </xf>
    <xf borderId="1" fillId="31" fontId="6" numFmtId="0" xfId="0" applyAlignment="1" applyBorder="1" applyFill="1" applyFont="1">
      <alignment horizontal="center" readingOrder="0" shrinkToFit="0" vertical="center" wrapText="1"/>
    </xf>
    <xf borderId="1" fillId="31" fontId="4" numFmtId="0" xfId="0" applyAlignment="1" applyBorder="1" applyFont="1">
      <alignment horizontal="center" readingOrder="0" shrinkToFit="0" vertical="center" wrapText="1"/>
    </xf>
    <xf borderId="1" fillId="31" fontId="4" numFmtId="0" xfId="0" applyAlignment="1" applyBorder="1" applyFont="1">
      <alignment horizontal="left" readingOrder="0" shrinkToFit="0" vertical="center" wrapText="0"/>
    </xf>
    <xf borderId="1" fillId="31" fontId="4" numFmtId="49" xfId="0" applyAlignment="1" applyBorder="1" applyFont="1" applyNumberFormat="1">
      <alignment horizontal="center" readingOrder="0" shrinkToFit="0" vertical="center" wrapText="0"/>
    </xf>
    <xf borderId="1" fillId="31" fontId="4" numFmtId="0" xfId="0" applyAlignment="1" applyBorder="1" applyFont="1">
      <alignment horizontal="center" readingOrder="0" shrinkToFit="0" vertical="center" wrapText="0"/>
    </xf>
    <xf borderId="1" fillId="31" fontId="6" numFmtId="0" xfId="0" applyAlignment="1" applyBorder="1" applyFont="1">
      <alignment horizontal="center" readingOrder="0" vertical="center"/>
    </xf>
    <xf borderId="1" fillId="31" fontId="6" numFmtId="0" xfId="0" applyAlignment="1" applyBorder="1" applyFont="1">
      <alignment horizontal="center" vertical="center"/>
    </xf>
    <xf borderId="1" fillId="31" fontId="6" numFmtId="0" xfId="0" applyAlignment="1" applyBorder="1" applyFont="1">
      <alignment horizontal="center" shrinkToFit="0" vertical="center" wrapText="1"/>
    </xf>
    <xf borderId="1" fillId="31" fontId="5" numFmtId="0" xfId="0" applyAlignment="1" applyBorder="1" applyFont="1">
      <alignment horizontal="center" readingOrder="0" shrinkToFit="0" vertical="center" wrapText="1"/>
    </xf>
    <xf borderId="1" fillId="31" fontId="4" numFmtId="0" xfId="0" applyAlignment="1" applyBorder="1" applyFont="1">
      <alignment horizontal="center" readingOrder="0" shrinkToFit="0" vertical="center" wrapText="0"/>
    </xf>
    <xf borderId="1" fillId="31" fontId="6" numFmtId="0" xfId="0" applyAlignment="1" applyBorder="1" applyFont="1">
      <alignment vertical="center"/>
    </xf>
    <xf borderId="1" fillId="31" fontId="5" numFmtId="0" xfId="0" applyAlignment="1" applyBorder="1" applyFont="1">
      <alignment horizontal="left" readingOrder="0" shrinkToFit="0" vertical="center" wrapText="1"/>
    </xf>
    <xf borderId="1" fillId="31" fontId="5" numFmtId="49" xfId="0" applyAlignment="1" applyBorder="1" applyFont="1" applyNumberFormat="1">
      <alignment horizontal="center" readingOrder="0" shrinkToFit="0" vertical="center" wrapText="1"/>
    </xf>
    <xf borderId="1" fillId="31" fontId="7" numFmtId="0" xfId="0" applyBorder="1" applyFont="1"/>
    <xf borderId="1" fillId="31" fontId="7" numFmtId="0" xfId="0" applyAlignment="1" applyBorder="1" applyFont="1">
      <alignment shrinkToFit="0" wrapText="0"/>
    </xf>
    <xf borderId="1" fillId="0" fontId="6" numFmtId="166" xfId="0" applyAlignment="1" applyBorder="1" applyFont="1" applyNumberForma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32" fontId="4" numFmtId="0" xfId="0" applyAlignment="1" applyBorder="1" applyFill="1" applyFont="1">
      <alignment horizontal="center" readingOrder="0" shrinkToFit="0" vertical="center" wrapText="1"/>
    </xf>
    <xf borderId="1" fillId="32" fontId="4" numFmtId="0" xfId="0" applyAlignment="1" applyBorder="1" applyFont="1">
      <alignment horizontal="center" readingOrder="0" shrinkToFit="0" vertical="center" wrapText="0"/>
    </xf>
    <xf borderId="1" fillId="26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30" fontId="6" numFmtId="0" xfId="0" applyAlignment="1" applyBorder="1" applyFont="1">
      <alignment horizontal="center" readingOrder="0"/>
    </xf>
    <xf borderId="1" fillId="30" fontId="7" numFmtId="0" xfId="0" applyAlignment="1" applyBorder="1" applyFont="1">
      <alignment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22" fontId="4" numFmtId="0" xfId="0" applyAlignment="1" applyBorder="1" applyFont="1">
      <alignment horizontal="center" readingOrder="0" shrinkToFit="0" vertical="center" wrapText="0"/>
    </xf>
    <xf borderId="1" fillId="33" fontId="5" numFmtId="0" xfId="0" applyAlignment="1" applyBorder="1" applyFill="1" applyFont="1">
      <alignment horizontal="left" readingOrder="0" shrinkToFit="0" vertical="center" wrapText="1"/>
    </xf>
    <xf borderId="1" fillId="33" fontId="5" numFmtId="0" xfId="0" applyAlignment="1" applyBorder="1" applyFont="1">
      <alignment horizontal="center" readingOrder="0" shrinkToFit="0" vertical="center" wrapText="1"/>
    </xf>
    <xf borderId="1" fillId="33" fontId="7" numFmtId="0" xfId="0" applyBorder="1" applyFont="1"/>
    <xf borderId="1" fillId="6" fontId="5" numFmtId="0" xfId="0" applyAlignment="1" applyBorder="1" applyFont="1">
      <alignment horizontal="center" readingOrder="0" shrinkToFit="0" vertical="center" wrapText="1"/>
    </xf>
    <xf borderId="1" fillId="25" fontId="4" numFmtId="0" xfId="0" applyAlignment="1" applyBorder="1" applyFont="1">
      <alignment horizontal="center" readingOrder="0" shrinkToFit="0" vertical="center" wrapText="1"/>
    </xf>
    <xf borderId="1" fillId="25" fontId="7" numFmtId="0" xfId="0" applyBorder="1" applyFont="1"/>
    <xf borderId="1" fillId="25" fontId="7" numFmtId="0" xfId="0" applyAlignment="1" applyBorder="1" applyFont="1">
      <alignment readingOrder="0" shrinkToFit="0" wrapText="0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31" fontId="6" numFmtId="165" xfId="0" applyAlignment="1" applyBorder="1" applyFont="1" applyNumberFormat="1">
      <alignment readingOrder="0" vertical="center"/>
    </xf>
    <xf borderId="1" fillId="23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165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wrapText="0"/>
    </xf>
    <xf borderId="1" fillId="0" fontId="4" numFmtId="49" xfId="0" applyAlignment="1" applyBorder="1" applyFont="1" applyNumberFormat="1">
      <alignment horizontal="center" readingOrder="0" shrinkToFit="0" wrapText="0"/>
    </xf>
    <xf borderId="1" fillId="24" fontId="6" numFmtId="0" xfId="0" applyAlignment="1" applyBorder="1" applyFont="1">
      <alignment horizontal="center" readingOrder="0" vertical="center"/>
    </xf>
    <xf borderId="1" fillId="34" fontId="7" numFmtId="0" xfId="0" applyBorder="1" applyFill="1" applyFont="1"/>
    <xf borderId="1" fillId="24" fontId="7" numFmtId="0" xfId="0" applyAlignment="1" applyBorder="1" applyFont="1">
      <alignment readingOrder="0"/>
    </xf>
    <xf borderId="1" fillId="26" fontId="7" numFmtId="0" xfId="0" applyAlignment="1" applyBorder="1" applyFont="1">
      <alignment readingOrder="0" shrinkToFit="0" wrapText="0"/>
    </xf>
    <xf borderId="1" fillId="34" fontId="7" numFmtId="0" xfId="0" applyAlignment="1" applyBorder="1" applyFont="1">
      <alignment readingOrder="0"/>
    </xf>
    <xf borderId="1" fillId="26" fontId="4" numFmtId="0" xfId="0" applyAlignment="1" applyBorder="1" applyFont="1">
      <alignment horizontal="center" readingOrder="0" shrinkToFit="0" vertical="center" wrapText="1"/>
    </xf>
    <xf borderId="1" fillId="26" fontId="4" numFmtId="0" xfId="0" applyAlignment="1" applyBorder="1" applyFont="1">
      <alignment horizontal="left" readingOrder="0" shrinkToFit="0" vertical="center" wrapText="0"/>
    </xf>
    <xf borderId="1" fillId="26" fontId="4" numFmtId="49" xfId="0" applyAlignment="1" applyBorder="1" applyFont="1" applyNumberFormat="1">
      <alignment horizontal="center" readingOrder="0" shrinkToFit="0" vertical="center" wrapText="0"/>
    </xf>
    <xf borderId="1" fillId="26" fontId="4" numFmtId="0" xfId="0" applyAlignment="1" applyBorder="1" applyFont="1">
      <alignment horizontal="center" readingOrder="0" shrinkToFit="0" vertical="center" wrapText="0"/>
    </xf>
    <xf borderId="1" fillId="26" fontId="6" numFmtId="0" xfId="0" applyAlignment="1" applyBorder="1" applyFont="1">
      <alignment horizontal="center" vertical="center"/>
    </xf>
    <xf borderId="1" fillId="26" fontId="6" numFmtId="0" xfId="0" applyAlignment="1" applyBorder="1" applyFont="1">
      <alignment horizontal="center" shrinkToFit="0" vertical="center" wrapText="1"/>
    </xf>
    <xf borderId="1" fillId="26" fontId="6" numFmtId="0" xfId="0" applyAlignment="1" applyBorder="1" applyFont="1">
      <alignment horizontal="center"/>
    </xf>
    <xf borderId="1" fillId="26" fontId="5" numFmtId="0" xfId="0" applyAlignment="1" applyBorder="1" applyFont="1">
      <alignment horizontal="center" readingOrder="0" shrinkToFit="0" vertical="center" wrapText="1"/>
    </xf>
    <xf borderId="1" fillId="26" fontId="4" numFmtId="0" xfId="0" applyAlignment="1" applyBorder="1" applyFont="1">
      <alignment horizontal="center" readingOrder="0" shrinkToFit="0" vertical="center" wrapText="0"/>
    </xf>
    <xf borderId="1" fillId="26" fontId="6" numFmtId="0" xfId="0" applyAlignment="1" applyBorder="1" applyFont="1">
      <alignment vertical="center"/>
    </xf>
    <xf borderId="1" fillId="26" fontId="5" numFmtId="0" xfId="0" applyAlignment="1" applyBorder="1" applyFont="1">
      <alignment horizontal="left" readingOrder="0" shrinkToFit="0" vertical="center" wrapText="1"/>
    </xf>
    <xf borderId="1" fillId="26" fontId="7" numFmtId="0" xfId="0" applyBorder="1" applyFont="1"/>
    <xf borderId="1" fillId="26" fontId="7" numFmtId="0" xfId="0" applyAlignment="1" applyBorder="1" applyFont="1">
      <alignment shrinkToFit="0" wrapText="0"/>
    </xf>
    <xf borderId="1" fillId="0" fontId="6" numFmtId="166" xfId="0" applyAlignment="1" applyBorder="1" applyFont="1" applyNumberFormat="1">
      <alignment horizontal="right"/>
    </xf>
    <xf borderId="1" fillId="35" fontId="4" numFmtId="0" xfId="0" applyAlignment="1" applyBorder="1" applyFill="1" applyFont="1">
      <alignment horizontal="center" readingOrder="0" shrinkToFit="0" vertical="center" wrapText="1"/>
    </xf>
    <xf borderId="1" fillId="31" fontId="6" numFmtId="0" xfId="0" applyAlignment="1" applyBorder="1" applyFont="1">
      <alignment horizontal="center"/>
    </xf>
    <xf borderId="1" fillId="31" fontId="6" numFmtId="0" xfId="0" applyAlignment="1" applyBorder="1" applyFont="1">
      <alignment horizontal="center" shrinkToFit="0" vertical="center" wrapText="1"/>
    </xf>
    <xf borderId="1" fillId="31" fontId="6" numFmtId="165" xfId="0" applyAlignment="1" applyBorder="1" applyFont="1" applyNumberFormat="1">
      <alignment horizontal="center" readingOrder="0" vertical="center"/>
    </xf>
    <xf borderId="1" fillId="36" fontId="4" numFmtId="0" xfId="0" applyAlignment="1" applyBorder="1" applyFill="1" applyFont="1">
      <alignment horizontal="center" readingOrder="0" shrinkToFit="0" vertical="center" wrapText="1"/>
    </xf>
    <xf borderId="1" fillId="29" fontId="6" numFmtId="165" xfId="0" applyAlignment="1" applyBorder="1" applyFont="1" applyNumberFormat="1">
      <alignment horizontal="center" readingOrder="0" vertical="center"/>
    </xf>
    <xf borderId="1" fillId="31" fontId="9" numFmtId="49" xfId="0" applyAlignment="1" applyBorder="1" applyFont="1" applyNumberFormat="1">
      <alignment horizontal="center" readingOrder="0" shrinkToFit="0" vertical="center" wrapText="0"/>
    </xf>
    <xf borderId="1" fillId="29" fontId="6" numFmtId="0" xfId="0" applyAlignment="1" applyBorder="1" applyFont="1">
      <alignment horizontal="center" vertical="center"/>
    </xf>
    <xf borderId="1" fillId="31" fontId="6" numFmtId="165" xfId="0" applyAlignment="1" applyBorder="1" applyFont="1" applyNumberFormat="1">
      <alignment horizontal="center" readingOrder="0" shrinkToFit="0" vertical="center" wrapText="1"/>
    </xf>
    <xf borderId="1" fillId="31" fontId="4" numFmtId="0" xfId="0" applyAlignment="1" applyBorder="1" applyFont="1">
      <alignment horizontal="center" readingOrder="0" vertical="center"/>
    </xf>
    <xf borderId="1" fillId="31" fontId="7" numFmtId="0" xfId="0" applyAlignment="1" applyBorder="1" applyFont="1">
      <alignment readingOrder="0" shrinkToFit="0" wrapText="0"/>
    </xf>
    <xf borderId="0" fillId="31" fontId="6" numFmtId="0" xfId="0" applyAlignment="1" applyFont="1">
      <alignment horizontal="center" readingOrder="0" shrinkToFit="0" vertical="center" wrapText="1"/>
    </xf>
    <xf borderId="0" fillId="31" fontId="4" numFmtId="0" xfId="0" applyAlignment="1" applyFont="1">
      <alignment horizontal="center" readingOrder="0" vertical="center"/>
    </xf>
    <xf borderId="0" fillId="31" fontId="4" numFmtId="0" xfId="0" applyAlignment="1" applyFont="1">
      <alignment horizontal="left" readingOrder="0" shrinkToFit="0" vertical="center" wrapText="0"/>
    </xf>
    <xf borderId="0" fillId="31" fontId="4" numFmtId="49" xfId="0" applyAlignment="1" applyFont="1" applyNumberFormat="1">
      <alignment horizontal="center" readingOrder="0" shrinkToFit="0" vertical="center" wrapText="0"/>
    </xf>
    <xf borderId="0" fillId="31" fontId="4" numFmtId="0" xfId="0" applyAlignment="1" applyFont="1">
      <alignment horizontal="center" readingOrder="0" shrinkToFit="0" vertical="center" wrapText="1"/>
    </xf>
    <xf borderId="0" fillId="31" fontId="4" numFmtId="0" xfId="0" applyAlignment="1" applyFont="1">
      <alignment horizontal="center" readingOrder="0" shrinkToFit="0" vertical="center" wrapText="0"/>
    </xf>
    <xf borderId="0" fillId="31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31" fontId="6" numFmtId="0" xfId="0" applyAlignment="1" applyFont="1">
      <alignment horizontal="center" shrinkToFit="0" vertical="center" wrapText="1"/>
    </xf>
    <xf borderId="0" fillId="31" fontId="6" numFmtId="0" xfId="0" applyAlignment="1" applyFont="1">
      <alignment horizontal="center"/>
    </xf>
    <xf borderId="0" fillId="31" fontId="5" numFmtId="0" xfId="0" applyAlignment="1" applyFont="1">
      <alignment horizontal="center" readingOrder="0" shrinkToFit="0" vertical="center" wrapText="1"/>
    </xf>
    <xf borderId="0" fillId="31" fontId="4" numFmtId="0" xfId="0" applyAlignment="1" applyFont="1">
      <alignment horizontal="center" readingOrder="0" shrinkToFit="0" vertical="center" wrapText="0"/>
    </xf>
    <xf borderId="0" fillId="31" fontId="6" numFmtId="0" xfId="0" applyAlignment="1" applyFont="1">
      <alignment horizontal="center" shrinkToFit="0" vertical="center" wrapText="1"/>
    </xf>
    <xf borderId="0" fillId="31" fontId="6" numFmtId="165" xfId="0" applyAlignment="1" applyFont="1" applyNumberFormat="1">
      <alignment horizontal="center" readingOrder="0" vertical="center"/>
    </xf>
    <xf borderId="0" fillId="31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31" fontId="7" numFmtId="0" xfId="0" applyFont="1"/>
    <xf borderId="0" fillId="31" fontId="7" numFmtId="0" xfId="0" applyAlignment="1" applyFont="1">
      <alignment shrinkToFit="0" wrapText="0"/>
    </xf>
    <xf borderId="6" fillId="9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2" fillId="19" fontId="3" numFmtId="0" xfId="0" applyAlignment="1" applyBorder="1" applyFont="1">
      <alignment horizontal="center" readingOrder="0" shrinkToFit="0" vertical="center" wrapText="1"/>
    </xf>
    <xf borderId="4" fillId="19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10" numFmtId="49" xfId="0" applyAlignment="1" applyBorder="1" applyFont="1" applyNumberFormat="1">
      <alignment horizontal="center" readingOrder="0" shrinkToFit="0" vertical="center" wrapText="0"/>
    </xf>
    <xf borderId="1" fillId="0" fontId="11" numFmtId="49" xfId="0" applyAlignment="1" applyBorder="1" applyFont="1" applyNumberFormat="1">
      <alignment readingOrder="0"/>
    </xf>
    <xf borderId="1" fillId="0" fontId="11" numFmtId="0" xfId="0" applyBorder="1" applyFont="1"/>
    <xf borderId="1" fillId="0" fontId="12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shrinkToFit="0" vertical="center" wrapText="0"/>
    </xf>
    <xf borderId="2" fillId="37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33" fontId="3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1" fillId="16" fontId="15" numFmtId="0" xfId="0" applyAlignment="1" applyBorder="1" applyFont="1">
      <alignment horizontal="center" readingOrder="0" shrinkToFit="0" vertical="center" wrapText="1"/>
    </xf>
    <xf borderId="1" fillId="16" fontId="15" numFmtId="0" xfId="0" applyAlignment="1" applyBorder="1" applyFont="1">
      <alignment horizontal="center" shrinkToFit="0" vertical="center" wrapText="1"/>
    </xf>
    <xf borderId="1" fillId="16" fontId="1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1" fillId="0" fontId="17" numFmtId="49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/>
    </xf>
    <xf borderId="1" fillId="0" fontId="16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0" fontId="19" numFmtId="0" xfId="0" applyFont="1"/>
    <xf borderId="1" fillId="23" fontId="4" numFmtId="0" xfId="0" applyAlignment="1" applyBorder="1" applyFont="1">
      <alignment horizontal="center" readingOrder="0" shrinkToFit="0" vertical="center" wrapText="0"/>
    </xf>
    <xf borderId="1" fillId="23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8">
    <tableStyle count="3" pivot="0" name="CONSOLIDADO-style">
      <tableStyleElement dxfId="1" type="headerRow"/>
      <tableStyleElement dxfId="2" type="firstRowStripe"/>
      <tableStyleElement dxfId="3" type="secondRowStripe"/>
    </tableStyle>
    <tableStyle count="3" pivot="0" name="CONSOLIDADO-style 2">
      <tableStyleElement dxfId="4" type="headerRow"/>
      <tableStyleElement dxfId="2" type="firstRowStripe"/>
      <tableStyleElement dxfId="5" type="secondRowStripe"/>
    </tableStyle>
    <tableStyle count="3" pivot="0" name="CONSOLIDADO-style 3">
      <tableStyleElement dxfId="1" type="headerRow"/>
      <tableStyleElement dxfId="2" type="firstRowStripe"/>
      <tableStyleElement dxfId="3" type="secondRowStripe"/>
    </tableStyle>
    <tableStyle count="3" pivot="0" name="Hoja 24-style">
      <tableStyleElement dxfId="1" type="headerRow"/>
      <tableStyleElement dxfId="2" type="firstRowStripe"/>
      <tableStyleElement dxfId="3" type="secondRowStripe"/>
    </tableStyle>
    <tableStyle count="3" pivot="0" name="Hoja 24-style 2">
      <tableStyleElement dxfId="1" type="headerRow"/>
      <tableStyleElement dxfId="2" type="firstRowStripe"/>
      <tableStyleElement dxfId="3" type="secondRowStripe"/>
    </tableStyle>
    <tableStyle count="3" pivot="0" name="PUBLICACIÓN EN AGENCIA-style">
      <tableStyleElement dxfId="1" type="headerRow"/>
      <tableStyleElement dxfId="2" type="firstRowStripe"/>
      <tableStyleElement dxfId="3" type="secondRowStripe"/>
    </tableStyle>
    <tableStyle count="3" pivot="0" name="PUBLICACIÓN EN AGENCIA-style 2">
      <tableStyleElement dxfId="1" type="headerRow"/>
      <tableStyleElement dxfId="2" type="firstRowStripe"/>
      <tableStyleElement dxfId="3" type="secondRowStripe"/>
    </tableStyle>
    <tableStyle count="3" pivot="0" name="Hoja 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ía Chinchay" id="{92e02280-5a44-4767-ae0a-155e6d78d294}" providerId="google-sheets"/>
  <x18tc:person displayName="Gremary Yahaira Lopez" id="{213698c8-8251-4c33-ba8c-01236d5be9ce}" providerId="google-sheets"/>
  <x18tc:person displayName="Ruth Melanie Carbajal Escobar" id="{cc07aa18-8850-4e58-99f6-cb580302f6f3}" providerId="google-sheets"/>
  <x18tc:person displayName="NAYELI JAZMIN LOPEZ PEÑA" id="{248013a6-088a-49d8-8c3b-ae2728fa4d58}" providerId="google-sheets"/>
  <x18tc:person displayName="Mía Espejo" id="{741f7209-9fe7-4721-b0a0-eadcf387c62f}" providerId="google-sheets"/>
</x18tc:personList>
</file>

<file path=xl/tables/table1.xml><?xml version="1.0" encoding="utf-8"?>
<table xmlns="http://schemas.openxmlformats.org/spreadsheetml/2006/main" headerRowCount="0" ref="J1" displayName="Table_1" name="Table_1" id="1">
  <tableColumns count="1">
    <tableColumn name="Column1" id="1"/>
  </tableColumns>
  <tableStyleInfo name="CONSOLIDA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K1:L1" displayName="Table_2" name="Table_2" id="2">
  <tableColumns count="2">
    <tableColumn name="Column1" id="1"/>
    <tableColumn name="Column2" id="2"/>
  </tableColumns>
  <tableStyleInfo name="CONSOLIDAD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J2" displayName="Table_3" name="Table_3" id="3">
  <tableColumns count="1">
    <tableColumn name="Column1" id="1"/>
  </tableColumns>
  <tableStyleInfo name="CONSOLIDAD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E1:F1" displayName="Table_4" name="Table_4" id="4">
  <tableColumns count="2">
    <tableColumn name="Column1" id="1"/>
    <tableColumn name="Column2" id="2"/>
  </tableColumns>
  <tableStyleInfo name="Hoja 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E2:F2" displayName="Table_5" name="Table_5" id="5">
  <tableColumns count="2">
    <tableColumn name="Column1" id="1"/>
    <tableColumn name="Column2" id="2"/>
  </tableColumns>
  <tableStyleInfo name="Hoja 2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N1" displayName="Table_6" name="Table_6" id="6">
  <tableColumns count="1">
    <tableColumn name="Column1" id="1"/>
  </tableColumns>
  <tableStyleInfo name="PUBLICACIÓN EN AGENC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N2" displayName="Table_7" name="Table_7" id="7">
  <tableColumns count="1">
    <tableColumn name="Column1" id="1"/>
  </tableColumns>
  <tableStyleInfo name="PUBLICACIÓN EN AGENCI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J1:K1" displayName="Table_8" name="Table_8" id="8">
  <tableColumns count="2">
    <tableColumn name="Column1" id="1"/>
    <tableColumn name="Column2" id="2"/>
  </tableColumns>
  <tableStyleInfo name="Hoja 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468" dT="2026-04-18T23:40:06.00" personId="{cc07aa18-8850-4e58-99f6-cb580302f6f3}" id="{c7f4f2e4-ef7d-4cc0-82c3-a21d9f803eca}" done="0">
    <x18tc:text xml:space="preserve">Hola</x18tc:text>
  </x18tc:threadedComment>
  <x18tc:threadedComment ref="AC365" dT="2026-04-22T16:22:09.00" personId="{213698c8-8251-4c33-ba8c-01236d5be9ce}" id="{4c55ddb9-d238-41cb-83e9-e5780c58a3a1}" done="0">
    <x18tc:text xml:space="preserve">CASA MATERNA S/N</x18tc:text>
  </x18tc:threadedComment>
  <x18tc:threadedComment ref="M346" dT="2026-04-16T17:48:27.00" personId="{213698c8-8251-4c33-ba8c-01236d5be9ce}" id="{0e129886-f294-4683-a6c3-87162c0a8cd5}" done="0">
    <x18tc:text xml:space="preserve">SE ESTÁ VOLVIENDO A IMPRIMIR, LA RUTA ES FUERA DE PRESUPUESTO</x18tc:text>
  </x18tc:threadedComment>
  <x18tc:threadedComment ref="G492" dT="2026-04-18T23:42:07.00" personId="{cc07aa18-8850-4e58-99f6-cb580302f6f3}" id="{14eb2b87-9661-405a-838d-cb112b3888ef}" done="0">
    <x18tc:text xml:space="preserve">Nora</x18tc:text>
  </x18tc:threadedComment>
  <x18tc:threadedComment ref="AC334" dT="2026-04-22T16:13:57.00" personId="{213698c8-8251-4c33-ba8c-01236d5be9ce}" id="{50215d91-8df9-4255-aac6-b92f88e13116}" done="0">
    <x18tc:text xml:space="preserve">JUZGADO DE PAZ</x18tc:text>
  </x18tc:threadedComment>
  <x18tc:threadedComment ref="AP384" dT="2026-04-22T13:43:42.00" personId="{92e02280-5a44-4767-ae0a-155e6d78d294}" id="{c2672195-92f2-4356-a30f-16c5d5e89c11}" done="0">
    <x18tc:text xml:space="preserve">Se le indicó que le pida acompañamiento policial a la comisaría y que comunique inmediatamente si el alcalde va con tono amenazante</x18tc:text>
  </x18tc:threadedComment>
  <x18tc:threadedComment ref="W175" dT="2026-04-21T20:32:48.00" personId="{248013a6-088a-49d8-8c3b-ae2728fa4d58}" id="{6f574208-3152-4595-a1e2-eed523336f4b}" done="1">
    <x18tc:text xml:space="preserve">NO HAY COMISARÍA</x18tc:text>
  </x18tc:threadedComment>
  <x18tc:threadedComment ref="U470" dT="2026-04-18T23:39:27.00" personId="{cc07aa18-8850-4e58-99f6-cb580302f6f3}" id="{5798de6e-eaa0-48c3-aa50-eb374d960e7a}" done="0">
    <x18tc:text xml:space="preserve">Si</x18tc:text>
  </x18tc:threadedComment>
  <x18tc:threadedComment ref="Y344" dT="2026-04-22T16:45:15.00" personId="{213698c8-8251-4c33-ba8c-01236d5be9ce}" id="{382edeed-1632-4d4b-a620-c1713761bd32}" done="0">
    <x18tc:text xml:space="preserve">OFICIO DE COMISARIA SE PRESENTÓ AL JUEZ DE PAZ</x18tc:text>
  </x18tc:threadedComment>
  <x18tc:threadedComment ref="AF398" dT="2026-04-22T16:01:14.00" personId="{92e02280-5a44-4767-ae0a-155e6d78d294}" id="{4a990ec1-dfd0-4a7c-8b08-e23a0a482fd8}" done="1">
    <x18tc:text xml:space="preserve">NO HAN PUESTO LOS DNI EN EL ACTA. VA A LEVANTAR OTRA ACTA EN LA TARDE</x18tc:text>
  </x18tc:threadedComment>
  <x18tc:threadedComment ref="AC336" dT="2026-04-22T17:45:47.00" personId="{213698c8-8251-4c33-ba8c-01236d5be9ce}" id="{e62ad4bb-056f-42c1-874c-f2911d893996}" done="0">
    <x18tc:text xml:space="preserve">TAMBO C.N. SANTA MARIA DE CAHUAPANAS</x18tc:text>
  </x18tc:threadedComment>
  <x18tc:threadedComment ref="Y366" dT="2026-04-21T18:15:11.00" personId="{92e02280-5a44-4767-ae0a-155e6d78d294}" id="{34953f52-5fce-4898-b6a0-1ad1fb3b05ee}" done="0">
    <x18tc:text xml:space="preserve">No se entrega a comisaría en físico porque es la CPNC de yurimaguas, que está a cinco horas del distrito.</x18tc:text>
  </x18tc:threadedComment>
  <x18tc:threadedComment ref="AC342" dT="2026-04-22T16:42:10.00" personId="{213698c8-8251-4c33-ba8c-01236d5be9ce}" id="{88446e53-7a01-45bd-a21b-1b44298fb75c}" done="0">
    <x18tc:text xml:space="preserve">INSTITUTO CETPRO</x18tc:text>
  </x18tc:threadedComment>
  <x18tc:threadedComment ref="Y398" dT="2026-04-22T16:00:41.00" personId="{92e02280-5a44-4767-ae0a-155e6d78d294}" id="{d9b0f96d-fb58-4b8a-a37e-f6ada36dafbb}" done="0">
    <x18tc:text xml:space="preserve">ES EL ANIVERSARIO DEL DISTRITO 22/04 Y NO LE HAN RECEPCIONADO DOCUMENTOS</x18tc:text>
  </x18tc:threadedComment>
  <x18tc:threadedComment ref="AC353" dT="2026-04-22T17:26:05.00" personId="{213698c8-8251-4c33-ba8c-01236d5be9ce}" id="{bd452a35-f914-4b93-9d9b-0f604c59f299}" done="0">
    <x18tc:text xml:space="preserve">FRONTIS HOSPEDAJE ALICE</x18tc:text>
  </x18tc:threadedComment>
  <x18tc:threadedComment ref="L493" dT="2026-04-18T23:42:28.00" personId="{cc07aa18-8850-4e58-99f6-cb580302f6f3}" id="{7eaca773-2167-4e13-81ac-1fa18bbe5a14}" done="1">
    <x18tc:text xml:space="preserve">Si</x18tc:text>
  </x18tc:threadedComment>
  <x18tc:threadedComment ref="AC339" dT="2026-04-22T16:38:24.00" personId="{213698c8-8251-4c33-ba8c-01236d5be9ce}" id="{75d14a69-8644-4972-a551-52db36f66306}" done="0">
    <x18tc:text xml:space="preserve">BARBERÍA EL PADRINO</x18tc:text>
  </x18tc:threadedComment>
  <x18tc:threadedComment ref="AC360" dT="2026-04-22T17:24:17.00" personId="{213698c8-8251-4c33-ba8c-01236d5be9ce}" id="{d0837e90-1085-4c58-ac38-19e2b9e4968d}" done="0">
    <x18tc:text xml:space="preserve">PVF - EL ESTRECHO (PNP)</x18tc:text>
  </x18tc:threadedComment>
  <x18tc:threadedComment ref="Y353" dT="2026-04-21T15:38:37.00" personId="{213698c8-8251-4c33-ba8c-01236d5be9ce}" id="{f1a1b186-cdc5-49ed-b5ba-ee728e5e7695}" done="0">
    <x18tc:text xml:space="preserve">Se entregó el oficio de la comisaria a la sub perfectura.</x18tc:text>
  </x18tc:threadedComment>
  <x18tc:threadedComment ref="Y348" dT="2026-04-21T17:04:47.00" personId="{213698c8-8251-4c33-ba8c-01236d5be9ce}" id="{a52f636f-3058-4c5b-8449-29785320156f}" done="0">
    <x18tc:text xml:space="preserve">se entrego a la subperfectura</x18tc:text>
  </x18tc:threadedComment>
  <x18tc:threadedComment ref="W336" dT="2026-04-21T22:00:52.00" personId="{213698c8-8251-4c33-ba8c-01236d5be9ce}" id="{8715455e-b687-4502-bdfe-90cb0c58b8bc}" done="0">
    <x18tc:text xml:space="preserve">EL 22 ENTREGA OFICIOS, LLEGO TARDE EL 21</x18tc:text>
  </x18tc:threadedComment>
  <x18tc:threadedComment ref="Y375" dT="2026-04-21T18:09:44.00" personId="{92e02280-5a44-4767-ae0a-155e6d78d294}" id="{d33ab201-c519-4386-8007-8b91b7237c0d}" done="1">
    <x18tc:text xml:space="preserve">No entrega comisaría porque está dirigido a Yurimaguas, que está a varias horas río arriba del distrito.</x18tc:text>
  </x18tc:threadedComment>
  <x18tc:threadedComment ref="Y369" dT="2026-04-21T17:20:48.00" personId="{92e02280-5a44-4767-ae0a-155e6d78d294}" id="{1931f1ea-71f2-48ee-9270-51614bb54239}" done="0">
    <x18tc:text xml:space="preserve">No presenta a la Comisaría porque dice que está en un CP a tres horas del distrito.</x18tc:text>
  </x18tc:threadedComment>
  <x18tc:threadedComment ref="Y358" dT="2026-04-21T21:34:49.00" personId="{213698c8-8251-4c33-ba8c-01236d5be9ce}" id="{445104cf-767d-4084-a163-91b10debde3c}" done="0">
    <x18tc:text xml:space="preserve">ME CONFIRMO X MENSAJE, PERO AUN NO ENVIA SUS FOTOS, SOLO EL DE COMISARIA</x18tc:text>
  </x18tc:threadedComment>
  <x18tc:threadedComment ref="Y347" dT="2026-04-21T17:06:03.00" personId="{213698c8-8251-4c33-ba8c-01236d5be9ce}" id="{e514e42e-893f-4b5b-854a-147fc3dcd618}" done="0">
    <x18tc:text xml:space="preserve">se entrego a la subperfectura</x18tc:text>
  </x18tc:threadedComment>
  <x18tc:threadedComment ref="Y381" dT="2026-04-22T16:09:53.00" personId="{92e02280-5a44-4767-ae0a-155e6d78d294}" id="{ea07f5bf-e689-415b-911d-a6f8c65cee92}" done="0">
    <x18tc:text xml:space="preserve">NINGUNO, PORQUE PUBLICA EN AGENCIA</x18tc:text>
  </x18tc:threadedComment>
  <x18tc:threadedComment ref="E355" dT="2026-04-16T17:21:10.00" personId="{213698c8-8251-4c33-ba8c-01236d5be9ce}" id="{2ddd7e2e-edab-4419-8e4b-a35738df7408}" done="0">
    <x18tc:text xml:space="preserve">RECOJE EN AGENCIA AMBOS KITS Y SE ENCONTRARA CON SU COMPAÑERO EN EL DISTRITO</x18tc:text>
  </x18tc:threadedComment>
  <x18tc:threadedComment ref="AA365" dT="2026-04-23T01:07:09.00" personId="{213698c8-8251-4c33-ba8c-01236d5be9ce}" id="{0d6a1376-5153-4ca6-8e0c-9ab917ef7888}" done="0">
    <x18tc:text xml:space="preserve">JNE INDICO AL PUBLICADOR QUE PEGUE TODO EL PADRON</x18tc:text>
  </x18tc:threadedComment>
  <x18tc:threadedComment ref="AC359" dT="2026-04-22T17:23:02.00" personId="{213698c8-8251-4c33-ba8c-01236d5be9ce}" id="{08f1c7dc-124f-4a67-b943-0f2cf1a4c788}" done="0">
    <x18tc:text xml:space="preserve">PVF - EL ESTRECHO (PNP)</x18tc:text>
  </x18tc:threadedComment>
  <x18tc:threadedComment ref="Y353" dT="2026-04-21T15:05:27.00" personId="{213698c8-8251-4c33-ba8c-01236d5be9ce}" id="{32d5c6b8-df27-4ce7-9d3c-19fbbb282b7b}" done="1">
    <x18tc:text xml:space="preserve">En el distrito no hay comisaría, se entregara a la sub perfectura</x18tc:text>
  </x18tc:threadedComment>
  <x18tc:threadedComment ref="E387" dT="2026-04-18T22:00:16.00" personId="{741f7209-9fe7-4721-b0a0-eadcf387c62f}" id="{1b76dea3-6159-4ffd-b9af-7b4d9c9e8544}" done="0">
    <x18tc:text xml:space="preserve">NUEVO INGRESO DE USUARIO</x18tc:text>
  </x18tc:threadedComment>
  <x18tc:threadedComment ref="Y357" dT="2026-04-21T21:09:17.00" personId="{213698c8-8251-4c33-ba8c-01236d5be9ce}" id="{707dc141-8b38-43bd-bc65-a8ac2e8cbefb}" done="0">
    <x18tc:text xml:space="preserve">- VA A ENTREGAR LOS OTROS OFICIOS MALÑANA 22 /04/2026 TEMPRANO
- EL DE AUTORIDADES NO HAY A QUIEN LO PRESENTE, NO SE ENCUENTRA EL SUBPERFECTO EN EL DISTRITO</x18tc:text>
  </x18tc:threadedComment>
  <x18tc:threadedComment ref="AC346" dT="2026-04-22T17:13:39.00" personId="{213698c8-8251-4c33-ba8c-01236d5be9ce}" id="{e3675016-97e6-419e-9bfc-89306d5f48a9}" done="0">
    <x18tc:text xml:space="preserve">LOCAL MULTIUSO</x18tc:text>
  </x18tc:threadedComment>
  <x18tc:threadedComment ref="AC344" dT="2026-04-22T17:00:10.00" personId="{213698c8-8251-4c33-ba8c-01236d5be9ce}" id="{2fae3eb8-7585-41bf-b42b-cd671d15ffc7}" done="0">
    <x18tc:text xml:space="preserve">OFICINA DESCENTRALIZADA DE EDUCACIÓN RURAL (ODER) JEBREOS</x18tc:text>
  </x18tc:threadedComment>
  <x18tc:threadedComment ref="Y350" dT="2026-04-21T20:59:01.00" personId="{213698c8-8251-4c33-ba8c-01236d5be9ce}" id="{3d4c3ead-b28a-4edb-8018-af8b424139ac}" done="0">
    <x18tc:text xml:space="preserve">OFICIO DE CATASTRO PRESENTARA MAÑANA, LA SECRETARIA ESTA ENFERMA Y LA MUNICIPALIDAD ESTA CERRADA</x18tc:text>
  </x18tc:threadedComment>
  <x18tc:threadedComment ref="Y339" dT="2026-04-21T19:58:54.00" personId="{213698c8-8251-4c33-ba8c-01236d5be9ce}" id="{e02b3a87-330b-471c-8d2c-fb184762f9d2}" done="0">
    <x18tc:text xml:space="preserve">REVISAR LAS FOTOS PENDIENTES DE ENVIO OFICIOS MUNI Y REGISTRO CIVIL</x18tc:text>
  </x18tc:threadedComment>
  <x18tc:threadedComment ref="W334" dT="2026-04-21T19:39:55.00" personId="{213698c8-8251-4c33-ba8c-01236d5be9ce}" id="{07c59771-37fc-49bc-a7a8-a1d1a6bd2552}" done="0">
    <x18tc:text xml:space="preserve">NO HAY SEÑAL, SOLO PARA LLAMADAS MOVISTAR...
SE ESTA CONECTANDO AL WIFI DE LA MUNICIPALIDAD...</x18tc:text>
  </x18tc:threadedComment>
  <x18tc:threadedComment ref="E176" dT="2026-04-21T20:45:02.00" personId="{248013a6-088a-49d8-8c3b-ae2728fa4d58}" id="{15c05302-1b1d-4286-a352-8ae9f9764399}" done="1">
    <x18tc:text xml:space="preserve">OJO: que no publiquen en agencia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gremaryyahairalopez@gmail.com" TargetMode="External"/><Relationship Id="rId10" Type="http://schemas.openxmlformats.org/officeDocument/2006/relationships/hyperlink" Target="mailto:ariadna.chavezaliaga@gmail.com" TargetMode="External"/><Relationship Id="rId13" Type="http://schemas.openxmlformats.org/officeDocument/2006/relationships/hyperlink" Target="mailto:palaciosvaldez.97@gmail.com" TargetMode="External"/><Relationship Id="rId12" Type="http://schemas.openxmlformats.org/officeDocument/2006/relationships/hyperlink" Target="mailto:mchinchay@reniec.gob.pe" TargetMode="External"/><Relationship Id="rId1" Type="http://schemas.openxmlformats.org/officeDocument/2006/relationships/hyperlink" Target="mailto:jmorir@pucp.edu.pe" TargetMode="External"/><Relationship Id="rId2" Type="http://schemas.openxmlformats.org/officeDocument/2006/relationships/hyperlink" Target="mailto:jazminescalonaz17@gmail.com" TargetMode="External"/><Relationship Id="rId3" Type="http://schemas.openxmlformats.org/officeDocument/2006/relationships/hyperlink" Target="mailto:ana.arana@pucp.edu.pe" TargetMode="External"/><Relationship Id="rId4" Type="http://schemas.openxmlformats.org/officeDocument/2006/relationships/hyperlink" Target="mailto:jpachecoll@reniec.gob.pe" TargetMode="External"/><Relationship Id="rId9" Type="http://schemas.openxmlformats.org/officeDocument/2006/relationships/hyperlink" Target="mailto:mayca@reniec.gob.pe" TargetMode="External"/><Relationship Id="rId15" Type="http://schemas.openxmlformats.org/officeDocument/2006/relationships/hyperlink" Target="mailto:rcarbajal@reniec.gob.pe" TargetMode="External"/><Relationship Id="rId14" Type="http://schemas.openxmlformats.org/officeDocument/2006/relationships/hyperlink" Target="mailto:svillaseca@reniec.gob.pe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mailto:renequispecastillo1@gmail.com" TargetMode="External"/><Relationship Id="rId6" Type="http://schemas.openxmlformats.org/officeDocument/2006/relationships/hyperlink" Target="mailto:n.lopez@pucp.edu.pe" TargetMode="External"/><Relationship Id="rId7" Type="http://schemas.openxmlformats.org/officeDocument/2006/relationships/hyperlink" Target="mailto:tflores@reniec.gob.pe" TargetMode="External"/><Relationship Id="rId8" Type="http://schemas.openxmlformats.org/officeDocument/2006/relationships/hyperlink" Target="mailto:kloayza@reniec.gob.p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1.38"/>
    <col customWidth="1" min="2" max="3" width="5.88"/>
    <col customWidth="1" min="4" max="4" width="11.0"/>
    <col customWidth="1" min="5" max="5" width="40.38"/>
    <col customWidth="1" min="6" max="6" width="9.0"/>
    <col customWidth="1" min="7" max="7" width="9.25"/>
    <col customWidth="1" min="8" max="8" width="6.63"/>
    <col customWidth="1" min="9" max="9" width="6.25"/>
    <col customWidth="1" min="10" max="10" width="15.13"/>
    <col customWidth="1" min="11" max="11" width="11.13"/>
    <col customWidth="1" hidden="1" min="12" max="12" width="15.88"/>
    <col customWidth="1" hidden="1" min="13" max="13" width="14.75"/>
    <col customWidth="1" hidden="1" min="14" max="14" width="14.5"/>
    <col customWidth="1" hidden="1" min="15" max="15" width="13.38"/>
    <col customWidth="1" hidden="1" min="16" max="16" width="11.63"/>
    <col customWidth="1" hidden="1" min="17" max="17" width="11.5"/>
    <col customWidth="1" hidden="1" min="18" max="18" width="12.75"/>
    <col customWidth="1" hidden="1" min="19" max="19" width="12.5"/>
    <col customWidth="1" hidden="1" min="20" max="21" width="11.38"/>
    <col customWidth="1" hidden="1" min="22" max="22" width="24.13"/>
    <col customWidth="1" min="23" max="24" width="16.38"/>
    <col customWidth="1" min="25" max="25" width="17.5"/>
    <col customWidth="1" min="26" max="26" width="15.25"/>
    <col customWidth="1" min="27" max="28" width="12.63"/>
    <col customWidth="1" min="29" max="30" width="14.5"/>
    <col customWidth="1" min="31" max="31" width="15.38"/>
    <col customWidth="1" min="32" max="33" width="16.0"/>
    <col customWidth="1" min="34" max="39" width="15.0"/>
    <col customWidth="1" min="40" max="40" width="16.38"/>
  </cols>
  <sheetData>
    <row r="1" ht="22.5" customHeight="1">
      <c r="A1" s="1"/>
      <c r="B1" s="2"/>
      <c r="C1" s="3"/>
      <c r="D1" s="4"/>
      <c r="E1" s="5" t="s">
        <v>0</v>
      </c>
      <c r="F1" s="6"/>
      <c r="G1" s="6"/>
      <c r="H1" s="6"/>
      <c r="I1" s="7"/>
      <c r="J1" s="8" t="s">
        <v>1</v>
      </c>
      <c r="K1" s="9" t="s">
        <v>2</v>
      </c>
      <c r="L1" s="9" t="s">
        <v>2</v>
      </c>
      <c r="M1" s="10" t="s">
        <v>3</v>
      </c>
      <c r="N1" s="3"/>
      <c r="O1" s="3"/>
      <c r="P1" s="3"/>
      <c r="Q1" s="3"/>
      <c r="R1" s="3"/>
      <c r="S1" s="3"/>
      <c r="T1" s="3"/>
      <c r="U1" s="4"/>
      <c r="V1" s="11" t="s">
        <v>4</v>
      </c>
      <c r="W1" s="12" t="s">
        <v>5</v>
      </c>
      <c r="X1" s="3"/>
      <c r="Y1" s="4"/>
      <c r="Z1" s="13" t="s">
        <v>6</v>
      </c>
      <c r="AA1" s="14" t="s">
        <v>7</v>
      </c>
      <c r="AB1" s="3"/>
      <c r="AC1" s="3"/>
      <c r="AD1" s="3"/>
      <c r="AE1" s="3"/>
      <c r="AF1" s="3"/>
      <c r="AG1" s="4"/>
      <c r="AH1" s="15" t="s">
        <v>8</v>
      </c>
      <c r="AI1" s="3"/>
      <c r="AJ1" s="3"/>
      <c r="AK1" s="3"/>
      <c r="AL1" s="3"/>
      <c r="AM1" s="3"/>
      <c r="AN1" s="4"/>
      <c r="AO1" s="16" t="s">
        <v>9</v>
      </c>
      <c r="AP1" s="17" t="s">
        <v>10</v>
      </c>
    </row>
    <row r="2" ht="75.0" customHeight="1">
      <c r="A2" s="18" t="s">
        <v>11</v>
      </c>
      <c r="B2" s="18" t="s">
        <v>12</v>
      </c>
      <c r="C2" s="18" t="s">
        <v>13</v>
      </c>
      <c r="D2" s="19" t="s">
        <v>14</v>
      </c>
      <c r="E2" s="20" t="s">
        <v>15</v>
      </c>
      <c r="F2" s="21" t="s">
        <v>16</v>
      </c>
      <c r="G2" s="22" t="s">
        <v>17</v>
      </c>
      <c r="H2" s="20" t="s">
        <v>18</v>
      </c>
      <c r="I2" s="20" t="s">
        <v>19</v>
      </c>
      <c r="J2" s="23" t="s">
        <v>20</v>
      </c>
      <c r="K2" s="24" t="s">
        <v>21</v>
      </c>
      <c r="L2" s="24" t="s">
        <v>22</v>
      </c>
      <c r="M2" s="25" t="s">
        <v>23</v>
      </c>
      <c r="N2" s="25" t="s">
        <v>24</v>
      </c>
      <c r="O2" s="25" t="s">
        <v>25</v>
      </c>
      <c r="P2" s="26" t="s">
        <v>26</v>
      </c>
      <c r="Q2" s="26" t="s">
        <v>27</v>
      </c>
      <c r="R2" s="26" t="s">
        <v>28</v>
      </c>
      <c r="S2" s="26" t="s">
        <v>29</v>
      </c>
      <c r="T2" s="26" t="s">
        <v>30</v>
      </c>
      <c r="U2" s="26" t="s">
        <v>31</v>
      </c>
      <c r="V2" s="27" t="s">
        <v>32</v>
      </c>
      <c r="W2" s="28" t="s">
        <v>33</v>
      </c>
      <c r="X2" s="28" t="s">
        <v>34</v>
      </c>
      <c r="Y2" s="28" t="s">
        <v>35</v>
      </c>
      <c r="Z2" s="29" t="s">
        <v>36</v>
      </c>
      <c r="AA2" s="30" t="s">
        <v>37</v>
      </c>
      <c r="AB2" s="30" t="s">
        <v>38</v>
      </c>
      <c r="AC2" s="30" t="s">
        <v>39</v>
      </c>
      <c r="AD2" s="31" t="s">
        <v>40</v>
      </c>
      <c r="AE2" s="30" t="s">
        <v>41</v>
      </c>
      <c r="AF2" s="30" t="s">
        <v>42</v>
      </c>
      <c r="AG2" s="30" t="s">
        <v>43</v>
      </c>
      <c r="AH2" s="32" t="s">
        <v>44</v>
      </c>
      <c r="AI2" s="32" t="s">
        <v>45</v>
      </c>
      <c r="AJ2" s="32" t="s">
        <v>46</v>
      </c>
      <c r="AK2" s="32" t="s">
        <v>47</v>
      </c>
      <c r="AL2" s="32" t="s">
        <v>48</v>
      </c>
      <c r="AM2" s="32" t="s">
        <v>49</v>
      </c>
      <c r="AN2" s="33" t="s">
        <v>50</v>
      </c>
      <c r="AO2" s="34" t="s">
        <v>51</v>
      </c>
      <c r="AP2" s="34" t="s">
        <v>52</v>
      </c>
      <c r="AQ2" s="34" t="s">
        <v>53</v>
      </c>
      <c r="AR2" s="34" t="s">
        <v>54</v>
      </c>
      <c r="AS2" s="34" t="s">
        <v>55</v>
      </c>
      <c r="AT2" s="34" t="s">
        <v>56</v>
      </c>
    </row>
    <row r="3" ht="25.5" customHeight="1">
      <c r="A3" s="35" t="s">
        <v>57</v>
      </c>
      <c r="B3" s="36" t="s">
        <v>58</v>
      </c>
      <c r="C3" s="36" t="s">
        <v>59</v>
      </c>
      <c r="D3" s="36" t="s">
        <v>60</v>
      </c>
      <c r="E3" s="37" t="s">
        <v>61</v>
      </c>
      <c r="F3" s="38" t="s">
        <v>62</v>
      </c>
      <c r="G3" s="39" t="s">
        <v>63</v>
      </c>
      <c r="H3" s="40"/>
      <c r="I3" s="38" t="s">
        <v>64</v>
      </c>
      <c r="J3" s="40" t="s">
        <v>65</v>
      </c>
      <c r="K3" s="41" t="s">
        <v>66</v>
      </c>
      <c r="L3" s="42" t="s">
        <v>67</v>
      </c>
      <c r="M3" s="41" t="s">
        <v>68</v>
      </c>
      <c r="N3" s="43" t="s">
        <v>69</v>
      </c>
      <c r="O3" s="44" t="s">
        <v>70</v>
      </c>
      <c r="P3" s="45"/>
      <c r="Q3" s="45" t="s">
        <v>67</v>
      </c>
      <c r="R3" s="46">
        <v>1.0</v>
      </c>
      <c r="S3" s="45" t="s">
        <v>67</v>
      </c>
      <c r="T3" s="47">
        <v>46129.0</v>
      </c>
      <c r="U3" s="45" t="s">
        <v>67</v>
      </c>
      <c r="V3" s="45"/>
      <c r="W3" s="48">
        <v>46133.0</v>
      </c>
      <c r="X3" s="49" t="s">
        <v>71</v>
      </c>
      <c r="Y3" s="49" t="s">
        <v>72</v>
      </c>
      <c r="Z3" s="50" t="s">
        <v>73</v>
      </c>
      <c r="AA3" s="45" t="s">
        <v>74</v>
      </c>
      <c r="AB3" s="45" t="s">
        <v>67</v>
      </c>
      <c r="AC3" s="45" t="s">
        <v>75</v>
      </c>
      <c r="AD3" s="51" t="s">
        <v>76</v>
      </c>
      <c r="AE3" s="45"/>
      <c r="AF3" s="45" t="s">
        <v>67</v>
      </c>
      <c r="AG3" s="45"/>
      <c r="AH3" s="45">
        <v>10.0</v>
      </c>
      <c r="AI3" s="45"/>
      <c r="AJ3" s="45"/>
      <c r="AK3" s="45"/>
      <c r="AL3" s="45"/>
      <c r="AM3" s="45"/>
      <c r="AN3" s="45">
        <v>0.0</v>
      </c>
      <c r="AO3" s="52"/>
      <c r="AP3" s="49"/>
      <c r="AQ3" s="49"/>
      <c r="AR3" s="49"/>
      <c r="AS3" s="49"/>
      <c r="AT3" s="49"/>
    </row>
    <row r="4">
      <c r="A4" s="35" t="s">
        <v>77</v>
      </c>
      <c r="B4" s="36" t="s">
        <v>58</v>
      </c>
      <c r="C4" s="36" t="s">
        <v>59</v>
      </c>
      <c r="D4" s="36" t="s">
        <v>78</v>
      </c>
      <c r="E4" s="37" t="s">
        <v>79</v>
      </c>
      <c r="F4" s="38" t="s">
        <v>80</v>
      </c>
      <c r="G4" s="39" t="s">
        <v>81</v>
      </c>
      <c r="H4" s="38" t="s">
        <v>82</v>
      </c>
      <c r="I4" s="38" t="s">
        <v>83</v>
      </c>
      <c r="J4" s="40" t="s">
        <v>65</v>
      </c>
      <c r="K4" s="42" t="s">
        <v>84</v>
      </c>
      <c r="L4" s="42" t="s">
        <v>67</v>
      </c>
      <c r="M4" s="53" t="s">
        <v>68</v>
      </c>
      <c r="N4" s="43" t="s">
        <v>69</v>
      </c>
      <c r="O4" s="44" t="s">
        <v>70</v>
      </c>
      <c r="P4" s="45" t="s">
        <v>67</v>
      </c>
      <c r="Q4" s="45" t="s">
        <v>67</v>
      </c>
      <c r="R4" s="46">
        <v>1.0</v>
      </c>
      <c r="S4" s="45" t="s">
        <v>67</v>
      </c>
      <c r="T4" s="47">
        <v>46129.0</v>
      </c>
      <c r="U4" s="45" t="s">
        <v>67</v>
      </c>
      <c r="V4" s="45"/>
      <c r="W4" s="48">
        <v>46133.0</v>
      </c>
      <c r="X4" s="49" t="s">
        <v>85</v>
      </c>
      <c r="Y4" s="49" t="s">
        <v>72</v>
      </c>
      <c r="Z4" s="50" t="s">
        <v>73</v>
      </c>
      <c r="AA4" s="45" t="s">
        <v>74</v>
      </c>
      <c r="AB4" s="45" t="s">
        <v>67</v>
      </c>
      <c r="AC4" s="45" t="s">
        <v>86</v>
      </c>
      <c r="AD4" s="51" t="s">
        <v>76</v>
      </c>
      <c r="AE4" s="54"/>
      <c r="AF4" s="45" t="s">
        <v>67</v>
      </c>
      <c r="AG4" s="45"/>
      <c r="AH4" s="45">
        <v>6.0</v>
      </c>
      <c r="AI4" s="45"/>
      <c r="AJ4" s="45"/>
      <c r="AK4" s="45"/>
      <c r="AL4" s="45"/>
      <c r="AM4" s="45"/>
      <c r="AN4" s="45">
        <v>0.0</v>
      </c>
      <c r="AO4" s="55"/>
      <c r="AP4" s="54"/>
      <c r="AQ4" s="54"/>
      <c r="AR4" s="54"/>
      <c r="AS4" s="54"/>
      <c r="AT4" s="54"/>
    </row>
    <row r="5">
      <c r="A5" s="35" t="s">
        <v>87</v>
      </c>
      <c r="B5" s="36" t="s">
        <v>58</v>
      </c>
      <c r="C5" s="36" t="s">
        <v>59</v>
      </c>
      <c r="D5" s="36" t="s">
        <v>88</v>
      </c>
      <c r="E5" s="37" t="s">
        <v>89</v>
      </c>
      <c r="F5" s="38" t="s">
        <v>90</v>
      </c>
      <c r="G5" s="39" t="s">
        <v>91</v>
      </c>
      <c r="H5" s="38" t="s">
        <v>92</v>
      </c>
      <c r="I5" s="38" t="s">
        <v>93</v>
      </c>
      <c r="J5" s="40" t="s">
        <v>65</v>
      </c>
      <c r="K5" s="41" t="s">
        <v>94</v>
      </c>
      <c r="L5" s="42" t="s">
        <v>67</v>
      </c>
      <c r="M5" s="41" t="s">
        <v>68</v>
      </c>
      <c r="N5" s="43" t="s">
        <v>69</v>
      </c>
      <c r="O5" s="44" t="s">
        <v>70</v>
      </c>
      <c r="P5" s="45"/>
      <c r="Q5" s="45" t="s">
        <v>67</v>
      </c>
      <c r="R5" s="46">
        <v>1.0</v>
      </c>
      <c r="S5" s="45" t="s">
        <v>67</v>
      </c>
      <c r="T5" s="47">
        <v>46129.0</v>
      </c>
      <c r="U5" s="45" t="s">
        <v>67</v>
      </c>
      <c r="V5" s="45"/>
      <c r="W5" s="48">
        <v>46133.0</v>
      </c>
      <c r="X5" s="49" t="s">
        <v>95</v>
      </c>
      <c r="Y5" s="49" t="s">
        <v>72</v>
      </c>
      <c r="Z5" s="50" t="s">
        <v>73</v>
      </c>
      <c r="AA5" s="45" t="s">
        <v>74</v>
      </c>
      <c r="AB5" s="45" t="s">
        <v>67</v>
      </c>
      <c r="AC5" s="45" t="s">
        <v>96</v>
      </c>
      <c r="AD5" s="51" t="s">
        <v>76</v>
      </c>
      <c r="AE5" s="54"/>
      <c r="AF5" s="45" t="s">
        <v>67</v>
      </c>
      <c r="AG5" s="45"/>
      <c r="AH5" s="45">
        <v>5.0</v>
      </c>
      <c r="AI5" s="45"/>
      <c r="AJ5" s="45"/>
      <c r="AK5" s="45"/>
      <c r="AL5" s="45"/>
      <c r="AM5" s="45"/>
      <c r="AN5" s="45">
        <v>0.0</v>
      </c>
      <c r="AO5" s="55"/>
      <c r="AP5" s="54"/>
      <c r="AQ5" s="54"/>
      <c r="AR5" s="54"/>
      <c r="AS5" s="54"/>
      <c r="AT5" s="54"/>
    </row>
    <row r="6">
      <c r="A6" s="35" t="s">
        <v>97</v>
      </c>
      <c r="B6" s="36" t="s">
        <v>58</v>
      </c>
      <c r="C6" s="36" t="s">
        <v>59</v>
      </c>
      <c r="D6" s="36" t="s">
        <v>98</v>
      </c>
      <c r="E6" s="37" t="s">
        <v>99</v>
      </c>
      <c r="F6" s="38" t="s">
        <v>100</v>
      </c>
      <c r="G6" s="39" t="s">
        <v>101</v>
      </c>
      <c r="H6" s="38" t="s">
        <v>102</v>
      </c>
      <c r="I6" s="38" t="s">
        <v>103</v>
      </c>
      <c r="J6" s="40" t="s">
        <v>65</v>
      </c>
      <c r="K6" s="41" t="s">
        <v>104</v>
      </c>
      <c r="L6" s="42" t="s">
        <v>67</v>
      </c>
      <c r="M6" s="53" t="s">
        <v>68</v>
      </c>
      <c r="N6" s="43" t="s">
        <v>69</v>
      </c>
      <c r="O6" s="44" t="s">
        <v>70</v>
      </c>
      <c r="P6" s="45" t="s">
        <v>67</v>
      </c>
      <c r="Q6" s="45" t="s">
        <v>67</v>
      </c>
      <c r="R6" s="46">
        <v>1.0</v>
      </c>
      <c r="S6" s="45" t="s">
        <v>67</v>
      </c>
      <c r="T6" s="47">
        <v>46129.0</v>
      </c>
      <c r="U6" s="45" t="s">
        <v>67</v>
      </c>
      <c r="V6" s="45"/>
      <c r="W6" s="48">
        <v>46133.0</v>
      </c>
      <c r="X6" s="49" t="s">
        <v>105</v>
      </c>
      <c r="Y6" s="49" t="s">
        <v>72</v>
      </c>
      <c r="Z6" s="50" t="s">
        <v>73</v>
      </c>
      <c r="AA6" s="45" t="s">
        <v>74</v>
      </c>
      <c r="AB6" s="45" t="s">
        <v>67</v>
      </c>
      <c r="AC6" s="45" t="s">
        <v>86</v>
      </c>
      <c r="AD6" s="51" t="s">
        <v>76</v>
      </c>
      <c r="AE6" s="54"/>
      <c r="AF6" s="45" t="s">
        <v>67</v>
      </c>
      <c r="AG6" s="45"/>
      <c r="AH6" s="45">
        <v>9.0</v>
      </c>
      <c r="AI6" s="45"/>
      <c r="AJ6" s="45"/>
      <c r="AK6" s="45"/>
      <c r="AL6" s="45"/>
      <c r="AM6" s="45"/>
      <c r="AN6" s="45">
        <v>0.0</v>
      </c>
      <c r="AO6" s="55"/>
      <c r="AP6" s="54"/>
      <c r="AQ6" s="54"/>
      <c r="AR6" s="54"/>
      <c r="AS6" s="54"/>
      <c r="AT6" s="54"/>
    </row>
    <row r="7">
      <c r="A7" s="35" t="s">
        <v>106</v>
      </c>
      <c r="B7" s="36" t="s">
        <v>58</v>
      </c>
      <c r="C7" s="36" t="s">
        <v>107</v>
      </c>
      <c r="D7" s="36" t="s">
        <v>108</v>
      </c>
      <c r="E7" s="37" t="s">
        <v>109</v>
      </c>
      <c r="F7" s="38" t="s">
        <v>110</v>
      </c>
      <c r="G7" s="39" t="s">
        <v>111</v>
      </c>
      <c r="H7" s="38" t="s">
        <v>112</v>
      </c>
      <c r="I7" s="38" t="s">
        <v>113</v>
      </c>
      <c r="J7" s="40" t="s">
        <v>65</v>
      </c>
      <c r="K7" s="42" t="s">
        <v>114</v>
      </c>
      <c r="L7" s="42" t="s">
        <v>67</v>
      </c>
      <c r="M7" s="53" t="s">
        <v>68</v>
      </c>
      <c r="N7" s="43" t="s">
        <v>69</v>
      </c>
      <c r="O7" s="44" t="s">
        <v>70</v>
      </c>
      <c r="P7" s="45" t="s">
        <v>67</v>
      </c>
      <c r="Q7" s="45" t="s">
        <v>67</v>
      </c>
      <c r="R7" s="46">
        <v>1.0</v>
      </c>
      <c r="S7" s="45" t="s">
        <v>67</v>
      </c>
      <c r="T7" s="47">
        <v>46129.0</v>
      </c>
      <c r="U7" s="45" t="s">
        <v>67</v>
      </c>
      <c r="V7" s="45"/>
      <c r="W7" s="48">
        <v>46133.0</v>
      </c>
      <c r="X7" s="49" t="s">
        <v>115</v>
      </c>
      <c r="Y7" s="49" t="s">
        <v>72</v>
      </c>
      <c r="Z7" s="50" t="s">
        <v>73</v>
      </c>
      <c r="AA7" s="45" t="s">
        <v>74</v>
      </c>
      <c r="AB7" s="45" t="s">
        <v>67</v>
      </c>
      <c r="AC7" s="45" t="s">
        <v>75</v>
      </c>
      <c r="AD7" s="51" t="s">
        <v>76</v>
      </c>
      <c r="AE7" s="54"/>
      <c r="AF7" s="45" t="s">
        <v>67</v>
      </c>
      <c r="AG7" s="45"/>
      <c r="AH7" s="45">
        <v>5.0</v>
      </c>
      <c r="AI7" s="45"/>
      <c r="AJ7" s="45"/>
      <c r="AK7" s="45"/>
      <c r="AL7" s="45"/>
      <c r="AM7" s="45"/>
      <c r="AN7" s="45">
        <v>0.0</v>
      </c>
      <c r="AO7" s="55"/>
      <c r="AP7" s="54"/>
      <c r="AQ7" s="54"/>
      <c r="AR7" s="54"/>
      <c r="AS7" s="54"/>
      <c r="AT7" s="54"/>
    </row>
    <row r="8">
      <c r="A8" s="35" t="s">
        <v>116</v>
      </c>
      <c r="B8" s="36" t="s">
        <v>58</v>
      </c>
      <c r="C8" s="36" t="s">
        <v>107</v>
      </c>
      <c r="D8" s="36" t="s">
        <v>117</v>
      </c>
      <c r="E8" s="37" t="s">
        <v>118</v>
      </c>
      <c r="F8" s="38" t="s">
        <v>119</v>
      </c>
      <c r="G8" s="39" t="s">
        <v>120</v>
      </c>
      <c r="H8" s="38" t="s">
        <v>121</v>
      </c>
      <c r="I8" s="38" t="s">
        <v>122</v>
      </c>
      <c r="J8" s="40" t="s">
        <v>65</v>
      </c>
      <c r="K8" s="41" t="s">
        <v>123</v>
      </c>
      <c r="L8" s="42" t="s">
        <v>67</v>
      </c>
      <c r="M8" s="41" t="s">
        <v>68</v>
      </c>
      <c r="N8" s="43" t="s">
        <v>69</v>
      </c>
      <c r="O8" s="44" t="s">
        <v>70</v>
      </c>
      <c r="P8" s="45"/>
      <c r="Q8" s="45" t="s">
        <v>67</v>
      </c>
      <c r="R8" s="46">
        <v>1.0</v>
      </c>
      <c r="S8" s="45" t="s">
        <v>67</v>
      </c>
      <c r="T8" s="47">
        <v>46132.0</v>
      </c>
      <c r="U8" s="45" t="s">
        <v>67</v>
      </c>
      <c r="V8" s="45"/>
      <c r="W8" s="48">
        <v>46133.0</v>
      </c>
      <c r="X8" s="49" t="s">
        <v>124</v>
      </c>
      <c r="Y8" s="49" t="s">
        <v>72</v>
      </c>
      <c r="Z8" s="50" t="s">
        <v>73</v>
      </c>
      <c r="AA8" s="45" t="s">
        <v>74</v>
      </c>
      <c r="AB8" s="45" t="s">
        <v>67</v>
      </c>
      <c r="AC8" s="45" t="s">
        <v>125</v>
      </c>
      <c r="AD8" s="51" t="s">
        <v>76</v>
      </c>
      <c r="AE8" s="54"/>
      <c r="AF8" s="45" t="s">
        <v>67</v>
      </c>
      <c r="AG8" s="45"/>
      <c r="AH8" s="45">
        <v>24.0</v>
      </c>
      <c r="AI8" s="45"/>
      <c r="AJ8" s="45"/>
      <c r="AK8" s="45"/>
      <c r="AL8" s="45"/>
      <c r="AM8" s="45"/>
      <c r="AN8" s="45">
        <v>0.0</v>
      </c>
      <c r="AO8" s="55"/>
      <c r="AP8" s="54"/>
      <c r="AQ8" s="54"/>
      <c r="AR8" s="54"/>
      <c r="AS8" s="54"/>
      <c r="AT8" s="54"/>
    </row>
    <row r="9">
      <c r="A9" s="35" t="s">
        <v>126</v>
      </c>
      <c r="B9" s="36" t="s">
        <v>58</v>
      </c>
      <c r="C9" s="36" t="s">
        <v>107</v>
      </c>
      <c r="D9" s="36" t="s">
        <v>127</v>
      </c>
      <c r="E9" s="37" t="s">
        <v>128</v>
      </c>
      <c r="F9" s="38" t="s">
        <v>129</v>
      </c>
      <c r="G9" s="39" t="s">
        <v>130</v>
      </c>
      <c r="H9" s="38" t="s">
        <v>131</v>
      </c>
      <c r="I9" s="38" t="s">
        <v>132</v>
      </c>
      <c r="J9" s="40" t="s">
        <v>65</v>
      </c>
      <c r="K9" s="41" t="s">
        <v>133</v>
      </c>
      <c r="L9" s="42" t="s">
        <v>67</v>
      </c>
      <c r="M9" s="41" t="s">
        <v>68</v>
      </c>
      <c r="N9" s="43" t="s">
        <v>69</v>
      </c>
      <c r="O9" s="44" t="s">
        <v>70</v>
      </c>
      <c r="P9" s="45"/>
      <c r="Q9" s="45" t="s">
        <v>67</v>
      </c>
      <c r="R9" s="46">
        <v>1.0</v>
      </c>
      <c r="S9" s="45" t="s">
        <v>67</v>
      </c>
      <c r="T9" s="47">
        <v>46129.0</v>
      </c>
      <c r="U9" s="45" t="s">
        <v>67</v>
      </c>
      <c r="V9" s="45"/>
      <c r="W9" s="48">
        <v>46133.0</v>
      </c>
      <c r="X9" s="49" t="s">
        <v>134</v>
      </c>
      <c r="Y9" s="49" t="s">
        <v>72</v>
      </c>
      <c r="Z9" s="50" t="s">
        <v>73</v>
      </c>
      <c r="AA9" s="45" t="s">
        <v>74</v>
      </c>
      <c r="AB9" s="45" t="s">
        <v>67</v>
      </c>
      <c r="AC9" s="45" t="s">
        <v>135</v>
      </c>
      <c r="AD9" s="51" t="s">
        <v>76</v>
      </c>
      <c r="AE9" s="54"/>
      <c r="AF9" s="45" t="s">
        <v>67</v>
      </c>
      <c r="AG9" s="45"/>
      <c r="AH9" s="45">
        <v>17.0</v>
      </c>
      <c r="AI9" s="45"/>
      <c r="AJ9" s="45"/>
      <c r="AK9" s="45"/>
      <c r="AL9" s="45"/>
      <c r="AM9" s="45"/>
      <c r="AN9" s="45">
        <v>0.0</v>
      </c>
      <c r="AO9" s="55"/>
      <c r="AP9" s="54"/>
      <c r="AQ9" s="54"/>
      <c r="AR9" s="54"/>
      <c r="AS9" s="54"/>
      <c r="AT9" s="54"/>
    </row>
    <row r="10">
      <c r="A10" s="35" t="s">
        <v>136</v>
      </c>
      <c r="B10" s="36" t="s">
        <v>58</v>
      </c>
      <c r="C10" s="36" t="s">
        <v>137</v>
      </c>
      <c r="D10" s="56" t="s">
        <v>138</v>
      </c>
      <c r="E10" s="37" t="s">
        <v>139</v>
      </c>
      <c r="F10" s="38" t="s">
        <v>140</v>
      </c>
      <c r="G10" s="39" t="s">
        <v>141</v>
      </c>
      <c r="H10" s="38" t="s">
        <v>142</v>
      </c>
      <c r="I10" s="38" t="s">
        <v>143</v>
      </c>
      <c r="J10" s="40" t="s">
        <v>65</v>
      </c>
      <c r="K10" s="42" t="s">
        <v>144</v>
      </c>
      <c r="L10" s="42" t="s">
        <v>67</v>
      </c>
      <c r="M10" s="57" t="s">
        <v>145</v>
      </c>
      <c r="N10" s="58" t="s">
        <v>146</v>
      </c>
      <c r="O10" s="59" t="s">
        <v>147</v>
      </c>
      <c r="P10" s="45" t="s">
        <v>67</v>
      </c>
      <c r="Q10" s="45" t="s">
        <v>67</v>
      </c>
      <c r="R10" s="46">
        <v>4.0</v>
      </c>
      <c r="S10" s="45" t="s">
        <v>67</v>
      </c>
      <c r="T10" s="47">
        <v>46132.0</v>
      </c>
      <c r="U10" s="45" t="s">
        <v>67</v>
      </c>
      <c r="V10" s="45"/>
      <c r="W10" s="48">
        <v>46133.0</v>
      </c>
      <c r="X10" s="49" t="s">
        <v>148</v>
      </c>
      <c r="Y10" s="49" t="s">
        <v>72</v>
      </c>
      <c r="Z10" s="50" t="s">
        <v>73</v>
      </c>
      <c r="AA10" s="45" t="s">
        <v>74</v>
      </c>
      <c r="AB10" s="45" t="s">
        <v>67</v>
      </c>
      <c r="AC10" s="45" t="s">
        <v>149</v>
      </c>
      <c r="AD10" s="51" t="s">
        <v>76</v>
      </c>
      <c r="AE10" s="54"/>
      <c r="AF10" s="45" t="s">
        <v>67</v>
      </c>
      <c r="AG10" s="45"/>
      <c r="AH10" s="45">
        <v>85.0</v>
      </c>
      <c r="AI10" s="45"/>
      <c r="AJ10" s="45"/>
      <c r="AK10" s="45"/>
      <c r="AL10" s="45"/>
      <c r="AM10" s="45"/>
      <c r="AN10" s="45">
        <v>0.0</v>
      </c>
      <c r="AO10" s="60" t="s">
        <v>150</v>
      </c>
      <c r="AP10" s="54"/>
      <c r="AQ10" s="54"/>
      <c r="AR10" s="54"/>
      <c r="AS10" s="54"/>
      <c r="AT10" s="54"/>
    </row>
    <row r="11">
      <c r="A11" s="35" t="s">
        <v>136</v>
      </c>
      <c r="B11" s="36" t="s">
        <v>58</v>
      </c>
      <c r="C11" s="36" t="s">
        <v>137</v>
      </c>
      <c r="D11" s="56" t="s">
        <v>138</v>
      </c>
      <c r="E11" s="37" t="s">
        <v>151</v>
      </c>
      <c r="F11" s="38" t="s">
        <v>152</v>
      </c>
      <c r="G11" s="61">
        <v>9.36932316E8</v>
      </c>
      <c r="H11" s="40">
        <v>2840.0</v>
      </c>
      <c r="I11" s="40">
        <v>1042.0</v>
      </c>
      <c r="J11" s="40" t="s">
        <v>65</v>
      </c>
      <c r="K11" s="41" t="s">
        <v>153</v>
      </c>
      <c r="L11" s="42" t="s">
        <v>67</v>
      </c>
      <c r="M11" s="57" t="s">
        <v>145</v>
      </c>
      <c r="N11" s="58" t="s">
        <v>146</v>
      </c>
      <c r="O11" s="59" t="s">
        <v>147</v>
      </c>
      <c r="P11" s="45" t="s">
        <v>67</v>
      </c>
      <c r="Q11" s="45" t="s">
        <v>67</v>
      </c>
      <c r="R11" s="46">
        <v>4.0</v>
      </c>
      <c r="S11" s="45" t="s">
        <v>67</v>
      </c>
      <c r="T11" s="47">
        <v>46132.0</v>
      </c>
      <c r="U11" s="45" t="s">
        <v>67</v>
      </c>
      <c r="V11" s="45"/>
      <c r="W11" s="48">
        <v>46133.0</v>
      </c>
      <c r="X11" s="49" t="s">
        <v>148</v>
      </c>
      <c r="Y11" s="49" t="s">
        <v>72</v>
      </c>
      <c r="Z11" s="50" t="s">
        <v>73</v>
      </c>
      <c r="AA11" s="45" t="s">
        <v>74</v>
      </c>
      <c r="AB11" s="45" t="s">
        <v>67</v>
      </c>
      <c r="AC11" s="45" t="s">
        <v>149</v>
      </c>
      <c r="AD11" s="51" t="s">
        <v>76</v>
      </c>
      <c r="AE11" s="54"/>
      <c r="AF11" s="45" t="s">
        <v>67</v>
      </c>
      <c r="AG11" s="45"/>
      <c r="AH11" s="45" t="s">
        <v>154</v>
      </c>
      <c r="AI11" s="45"/>
      <c r="AJ11" s="45"/>
      <c r="AK11" s="45"/>
      <c r="AL11" s="45"/>
      <c r="AM11" s="45"/>
      <c r="AN11" s="45">
        <v>0.0</v>
      </c>
      <c r="AO11" s="55"/>
      <c r="AP11" s="54"/>
      <c r="AQ11" s="54"/>
      <c r="AR11" s="54"/>
      <c r="AS11" s="54"/>
      <c r="AT11" s="54"/>
    </row>
    <row r="12">
      <c r="A12" s="35" t="s">
        <v>155</v>
      </c>
      <c r="B12" s="36" t="s">
        <v>58</v>
      </c>
      <c r="C12" s="36" t="s">
        <v>156</v>
      </c>
      <c r="D12" s="56" t="s">
        <v>157</v>
      </c>
      <c r="E12" s="37" t="s">
        <v>158</v>
      </c>
      <c r="F12" s="38" t="s">
        <v>159</v>
      </c>
      <c r="G12" s="39" t="s">
        <v>160</v>
      </c>
      <c r="H12" s="38" t="s">
        <v>161</v>
      </c>
      <c r="I12" s="38" t="s">
        <v>162</v>
      </c>
      <c r="J12" s="40" t="s">
        <v>65</v>
      </c>
      <c r="K12" s="42" t="s">
        <v>163</v>
      </c>
      <c r="L12" s="42" t="s">
        <v>67</v>
      </c>
      <c r="M12" s="57" t="s">
        <v>164</v>
      </c>
      <c r="N12" s="58" t="s">
        <v>146</v>
      </c>
      <c r="O12" s="59" t="s">
        <v>147</v>
      </c>
      <c r="P12" s="45" t="s">
        <v>67</v>
      </c>
      <c r="Q12" s="45" t="s">
        <v>67</v>
      </c>
      <c r="R12" s="46">
        <v>1.0</v>
      </c>
      <c r="S12" s="45" t="s">
        <v>67</v>
      </c>
      <c r="T12" s="47">
        <v>46132.0</v>
      </c>
      <c r="U12" s="45" t="s">
        <v>67</v>
      </c>
      <c r="V12" s="45"/>
      <c r="W12" s="48">
        <v>46133.0</v>
      </c>
      <c r="X12" s="49" t="s">
        <v>165</v>
      </c>
      <c r="Y12" s="49" t="s">
        <v>72</v>
      </c>
      <c r="Z12" s="50" t="s">
        <v>73</v>
      </c>
      <c r="AA12" s="45" t="s">
        <v>74</v>
      </c>
      <c r="AB12" s="45" t="s">
        <v>67</v>
      </c>
      <c r="AC12" s="45" t="s">
        <v>86</v>
      </c>
      <c r="AD12" s="51" t="s">
        <v>76</v>
      </c>
      <c r="AE12" s="54"/>
      <c r="AF12" s="45" t="s">
        <v>67</v>
      </c>
      <c r="AG12" s="45"/>
      <c r="AH12" s="45">
        <v>30.0</v>
      </c>
      <c r="AI12" s="45"/>
      <c r="AJ12" s="45"/>
      <c r="AK12" s="45"/>
      <c r="AL12" s="45"/>
      <c r="AM12" s="45"/>
      <c r="AN12" s="45">
        <v>0.0</v>
      </c>
      <c r="AO12" s="60" t="s">
        <v>166</v>
      </c>
      <c r="AP12" s="54"/>
      <c r="AQ12" s="54"/>
      <c r="AR12" s="54"/>
      <c r="AS12" s="54"/>
      <c r="AT12" s="54"/>
    </row>
    <row r="13">
      <c r="A13" s="35" t="s">
        <v>167</v>
      </c>
      <c r="B13" s="36" t="s">
        <v>58</v>
      </c>
      <c r="C13" s="36" t="s">
        <v>59</v>
      </c>
      <c r="D13" s="36" t="s">
        <v>168</v>
      </c>
      <c r="E13" s="37" t="s">
        <v>169</v>
      </c>
      <c r="F13" s="38" t="s">
        <v>170</v>
      </c>
      <c r="G13" s="39" t="s">
        <v>171</v>
      </c>
      <c r="H13" s="38" t="s">
        <v>172</v>
      </c>
      <c r="I13" s="38" t="s">
        <v>173</v>
      </c>
      <c r="J13" s="40" t="s">
        <v>65</v>
      </c>
      <c r="K13" s="41" t="s">
        <v>174</v>
      </c>
      <c r="L13" s="42" t="s">
        <v>67</v>
      </c>
      <c r="M13" s="41" t="s">
        <v>68</v>
      </c>
      <c r="N13" s="43" t="s">
        <v>69</v>
      </c>
      <c r="O13" s="44" t="s">
        <v>70</v>
      </c>
      <c r="P13" s="45"/>
      <c r="Q13" s="45" t="s">
        <v>67</v>
      </c>
      <c r="R13" s="46">
        <v>1.0</v>
      </c>
      <c r="S13" s="45" t="s">
        <v>67</v>
      </c>
      <c r="T13" s="47">
        <v>46129.0</v>
      </c>
      <c r="U13" s="45" t="s">
        <v>67</v>
      </c>
      <c r="V13" s="45"/>
      <c r="W13" s="48">
        <v>46133.0</v>
      </c>
      <c r="X13" s="49" t="s">
        <v>175</v>
      </c>
      <c r="Y13" s="49" t="s">
        <v>72</v>
      </c>
      <c r="Z13" s="50" t="s">
        <v>73</v>
      </c>
      <c r="AA13" s="45" t="s">
        <v>74</v>
      </c>
      <c r="AB13" s="45" t="s">
        <v>67</v>
      </c>
      <c r="AC13" s="45" t="s">
        <v>86</v>
      </c>
      <c r="AD13" s="51" t="s">
        <v>76</v>
      </c>
      <c r="AE13" s="54"/>
      <c r="AF13" s="45" t="s">
        <v>67</v>
      </c>
      <c r="AG13" s="45"/>
      <c r="AH13" s="45">
        <v>13.0</v>
      </c>
      <c r="AI13" s="45"/>
      <c r="AJ13" s="45"/>
      <c r="AK13" s="45"/>
      <c r="AL13" s="45"/>
      <c r="AM13" s="45"/>
      <c r="AN13" s="45">
        <v>0.0</v>
      </c>
      <c r="AO13" s="55"/>
      <c r="AP13" s="54"/>
      <c r="AQ13" s="54"/>
      <c r="AR13" s="54"/>
      <c r="AS13" s="54"/>
      <c r="AT13" s="54"/>
    </row>
    <row r="14">
      <c r="A14" s="35" t="s">
        <v>176</v>
      </c>
      <c r="B14" s="36" t="s">
        <v>58</v>
      </c>
      <c r="C14" s="36" t="s">
        <v>59</v>
      </c>
      <c r="D14" s="36" t="s">
        <v>177</v>
      </c>
      <c r="E14" s="37" t="s">
        <v>178</v>
      </c>
      <c r="F14" s="38" t="s">
        <v>179</v>
      </c>
      <c r="G14" s="39" t="s">
        <v>180</v>
      </c>
      <c r="H14" s="38" t="s">
        <v>181</v>
      </c>
      <c r="I14" s="38" t="s">
        <v>182</v>
      </c>
      <c r="J14" s="40" t="s">
        <v>65</v>
      </c>
      <c r="K14" s="41" t="s">
        <v>183</v>
      </c>
      <c r="L14" s="42" t="s">
        <v>67</v>
      </c>
      <c r="M14" s="41" t="s">
        <v>68</v>
      </c>
      <c r="N14" s="43" t="s">
        <v>69</v>
      </c>
      <c r="O14" s="44" t="s">
        <v>70</v>
      </c>
      <c r="P14" s="45"/>
      <c r="Q14" s="45" t="s">
        <v>67</v>
      </c>
      <c r="R14" s="46">
        <v>1.0</v>
      </c>
      <c r="S14" s="45" t="s">
        <v>67</v>
      </c>
      <c r="T14" s="47">
        <v>46129.0</v>
      </c>
      <c r="U14" s="45" t="s">
        <v>67</v>
      </c>
      <c r="V14" s="45"/>
      <c r="W14" s="48">
        <v>46133.0</v>
      </c>
      <c r="X14" s="49" t="s">
        <v>184</v>
      </c>
      <c r="Y14" s="49" t="s">
        <v>72</v>
      </c>
      <c r="Z14" s="50" t="s">
        <v>73</v>
      </c>
      <c r="AA14" s="45" t="s">
        <v>74</v>
      </c>
      <c r="AB14" s="45" t="s">
        <v>67</v>
      </c>
      <c r="AC14" s="45" t="s">
        <v>75</v>
      </c>
      <c r="AD14" s="51" t="s">
        <v>76</v>
      </c>
      <c r="AE14" s="54"/>
      <c r="AF14" s="45" t="s">
        <v>67</v>
      </c>
      <c r="AG14" s="45"/>
      <c r="AH14" s="45">
        <v>16.0</v>
      </c>
      <c r="AI14" s="45"/>
      <c r="AJ14" s="45"/>
      <c r="AK14" s="45"/>
      <c r="AL14" s="45"/>
      <c r="AM14" s="45"/>
      <c r="AN14" s="45">
        <v>0.0</v>
      </c>
      <c r="AO14" s="55"/>
      <c r="AP14" s="54"/>
      <c r="AQ14" s="54"/>
      <c r="AR14" s="54"/>
      <c r="AS14" s="54"/>
      <c r="AT14" s="54"/>
    </row>
    <row r="15">
      <c r="A15" s="35" t="s">
        <v>185</v>
      </c>
      <c r="B15" s="36" t="s">
        <v>58</v>
      </c>
      <c r="C15" s="36" t="s">
        <v>186</v>
      </c>
      <c r="D15" s="36" t="s">
        <v>187</v>
      </c>
      <c r="E15" s="37" t="s">
        <v>188</v>
      </c>
      <c r="F15" s="38" t="s">
        <v>189</v>
      </c>
      <c r="G15" s="39" t="s">
        <v>190</v>
      </c>
      <c r="H15" s="38" t="s">
        <v>191</v>
      </c>
      <c r="I15" s="38" t="s">
        <v>192</v>
      </c>
      <c r="J15" s="40" t="s">
        <v>65</v>
      </c>
      <c r="K15" s="42" t="s">
        <v>193</v>
      </c>
      <c r="L15" s="42" t="s">
        <v>67</v>
      </c>
      <c r="M15" s="41" t="s">
        <v>68</v>
      </c>
      <c r="N15" s="43" t="s">
        <v>69</v>
      </c>
      <c r="O15" s="44" t="s">
        <v>70</v>
      </c>
      <c r="P15" s="45"/>
      <c r="Q15" s="45" t="s">
        <v>67</v>
      </c>
      <c r="R15" s="46">
        <v>1.0</v>
      </c>
      <c r="S15" s="45" t="s">
        <v>67</v>
      </c>
      <c r="T15" s="47">
        <v>46129.0</v>
      </c>
      <c r="U15" s="45" t="s">
        <v>67</v>
      </c>
      <c r="V15" s="45"/>
      <c r="W15" s="48">
        <v>46133.0</v>
      </c>
      <c r="X15" s="49" t="s">
        <v>194</v>
      </c>
      <c r="Y15" s="49" t="s">
        <v>72</v>
      </c>
      <c r="Z15" s="50" t="s">
        <v>73</v>
      </c>
      <c r="AA15" s="45" t="s">
        <v>74</v>
      </c>
      <c r="AB15" s="45" t="s">
        <v>67</v>
      </c>
      <c r="AC15" s="45" t="s">
        <v>195</v>
      </c>
      <c r="AD15" s="51" t="s">
        <v>76</v>
      </c>
      <c r="AE15" s="54"/>
      <c r="AF15" s="45" t="s">
        <v>67</v>
      </c>
      <c r="AG15" s="45"/>
      <c r="AH15" s="45">
        <v>16.0</v>
      </c>
      <c r="AI15" s="45"/>
      <c r="AJ15" s="45"/>
      <c r="AK15" s="45"/>
      <c r="AL15" s="45"/>
      <c r="AM15" s="45"/>
      <c r="AN15" s="45">
        <v>0.0</v>
      </c>
      <c r="AO15" s="55"/>
      <c r="AP15" s="54"/>
      <c r="AQ15" s="54"/>
      <c r="AR15" s="54"/>
      <c r="AS15" s="54"/>
      <c r="AT15" s="54"/>
    </row>
    <row r="16">
      <c r="A16" s="35" t="s">
        <v>196</v>
      </c>
      <c r="B16" s="36" t="s">
        <v>58</v>
      </c>
      <c r="C16" s="36" t="s">
        <v>137</v>
      </c>
      <c r="D16" s="61" t="s">
        <v>197</v>
      </c>
      <c r="E16" s="62" t="s">
        <v>198</v>
      </c>
      <c r="F16" s="38" t="s">
        <v>199</v>
      </c>
      <c r="G16" s="61">
        <v>9.76545516E8</v>
      </c>
      <c r="H16" s="40" t="s">
        <v>200</v>
      </c>
      <c r="I16" s="40" t="s">
        <v>201</v>
      </c>
      <c r="J16" s="40" t="s">
        <v>149</v>
      </c>
      <c r="K16" s="41" t="s">
        <v>202</v>
      </c>
      <c r="L16" s="42" t="s">
        <v>74</v>
      </c>
      <c r="M16" s="57" t="s">
        <v>203</v>
      </c>
      <c r="N16" s="58" t="s">
        <v>146</v>
      </c>
      <c r="O16" s="59" t="s">
        <v>147</v>
      </c>
      <c r="P16" s="45" t="s">
        <v>67</v>
      </c>
      <c r="Q16" s="45" t="s">
        <v>67</v>
      </c>
      <c r="R16" s="46">
        <v>1.0</v>
      </c>
      <c r="S16" s="45" t="s">
        <v>74</v>
      </c>
      <c r="T16" s="58" t="s">
        <v>204</v>
      </c>
      <c r="U16" s="45" t="s">
        <v>74</v>
      </c>
      <c r="V16" s="45"/>
      <c r="W16" s="63" t="s">
        <v>204</v>
      </c>
      <c r="X16" s="49" t="s">
        <v>205</v>
      </c>
      <c r="Y16" s="49"/>
      <c r="Z16" s="50" t="s">
        <v>73</v>
      </c>
      <c r="AA16" s="45"/>
      <c r="AB16" s="45" t="s">
        <v>67</v>
      </c>
      <c r="AC16" s="45"/>
      <c r="AD16" s="51" t="s">
        <v>76</v>
      </c>
      <c r="AE16" s="54"/>
      <c r="AF16" s="45"/>
      <c r="AG16" s="45"/>
      <c r="AH16" s="45"/>
      <c r="AI16" s="45"/>
      <c r="AJ16" s="45"/>
      <c r="AK16" s="45"/>
      <c r="AL16" s="45"/>
      <c r="AM16" s="45"/>
      <c r="AN16" s="45">
        <v>0.0</v>
      </c>
      <c r="AO16" s="55"/>
      <c r="AP16" s="54"/>
      <c r="AQ16" s="54"/>
      <c r="AR16" s="54"/>
      <c r="AS16" s="54"/>
      <c r="AT16" s="54"/>
    </row>
    <row r="17">
      <c r="A17" s="35" t="s">
        <v>206</v>
      </c>
      <c r="B17" s="36" t="s">
        <v>58</v>
      </c>
      <c r="C17" s="36" t="s">
        <v>107</v>
      </c>
      <c r="D17" s="36" t="s">
        <v>207</v>
      </c>
      <c r="E17" s="62" t="s">
        <v>208</v>
      </c>
      <c r="F17" s="38"/>
      <c r="G17" s="39"/>
      <c r="H17" s="38" t="s">
        <v>209</v>
      </c>
      <c r="I17" s="38" t="s">
        <v>201</v>
      </c>
      <c r="J17" s="40" t="s">
        <v>149</v>
      </c>
      <c r="K17" s="41" t="s">
        <v>210</v>
      </c>
      <c r="L17" s="42" t="s">
        <v>74</v>
      </c>
      <c r="M17" s="41" t="s">
        <v>68</v>
      </c>
      <c r="N17" s="43" t="s">
        <v>69</v>
      </c>
      <c r="O17" s="44" t="s">
        <v>70</v>
      </c>
      <c r="P17" s="45"/>
      <c r="Q17" s="45" t="s">
        <v>67</v>
      </c>
      <c r="R17" s="46">
        <v>1.0</v>
      </c>
      <c r="S17" s="45" t="s">
        <v>74</v>
      </c>
      <c r="T17" s="58" t="s">
        <v>204</v>
      </c>
      <c r="U17" s="45" t="s">
        <v>74</v>
      </c>
      <c r="V17" s="45"/>
      <c r="W17" s="63" t="s">
        <v>204</v>
      </c>
      <c r="X17" s="49" t="s">
        <v>205</v>
      </c>
      <c r="Y17" s="49"/>
      <c r="Z17" s="50" t="s">
        <v>73</v>
      </c>
      <c r="AA17" s="45"/>
      <c r="AB17" s="45" t="s">
        <v>67</v>
      </c>
      <c r="AC17" s="45"/>
      <c r="AD17" s="51" t="s">
        <v>76</v>
      </c>
      <c r="AE17" s="54"/>
      <c r="AF17" s="45"/>
      <c r="AG17" s="45"/>
      <c r="AH17" s="45"/>
      <c r="AI17" s="45"/>
      <c r="AJ17" s="45"/>
      <c r="AK17" s="45"/>
      <c r="AL17" s="45"/>
      <c r="AM17" s="45"/>
      <c r="AN17" s="45">
        <v>0.0</v>
      </c>
      <c r="AO17" s="55"/>
      <c r="AP17" s="54"/>
      <c r="AQ17" s="54"/>
      <c r="AR17" s="54"/>
      <c r="AS17" s="54"/>
      <c r="AT17" s="54"/>
    </row>
    <row r="18">
      <c r="A18" s="35" t="s">
        <v>211</v>
      </c>
      <c r="B18" s="36" t="s">
        <v>58</v>
      </c>
      <c r="C18" s="36" t="s">
        <v>107</v>
      </c>
      <c r="D18" s="36" t="s">
        <v>212</v>
      </c>
      <c r="E18" s="62" t="s">
        <v>213</v>
      </c>
      <c r="F18" s="38" t="s">
        <v>214</v>
      </c>
      <c r="G18" s="39" t="s">
        <v>215</v>
      </c>
      <c r="H18" s="38" t="s">
        <v>216</v>
      </c>
      <c r="I18" s="38" t="s">
        <v>217</v>
      </c>
      <c r="J18" s="40" t="s">
        <v>65</v>
      </c>
      <c r="K18" s="42" t="s">
        <v>218</v>
      </c>
      <c r="L18" s="42" t="s">
        <v>67</v>
      </c>
      <c r="M18" s="41" t="s">
        <v>68</v>
      </c>
      <c r="N18" s="43" t="s">
        <v>69</v>
      </c>
      <c r="O18" s="44" t="s">
        <v>70</v>
      </c>
      <c r="P18" s="45"/>
      <c r="Q18" s="45" t="s">
        <v>67</v>
      </c>
      <c r="R18" s="46">
        <v>1.0</v>
      </c>
      <c r="S18" s="45" t="s">
        <v>67</v>
      </c>
      <c r="T18" s="47">
        <v>46129.0</v>
      </c>
      <c r="U18" s="45" t="s">
        <v>67</v>
      </c>
      <c r="V18" s="45"/>
      <c r="W18" s="48">
        <v>46132.0</v>
      </c>
      <c r="X18" s="49" t="s">
        <v>219</v>
      </c>
      <c r="Y18" s="49" t="s">
        <v>72</v>
      </c>
      <c r="Z18" s="50" t="s">
        <v>73</v>
      </c>
      <c r="AA18" s="45" t="s">
        <v>74</v>
      </c>
      <c r="AB18" s="45" t="s">
        <v>67</v>
      </c>
      <c r="AC18" s="45" t="s">
        <v>195</v>
      </c>
      <c r="AD18" s="51" t="s">
        <v>76</v>
      </c>
      <c r="AE18" s="54"/>
      <c r="AF18" s="45" t="s">
        <v>67</v>
      </c>
      <c r="AG18" s="45"/>
      <c r="AH18" s="45">
        <v>10.0</v>
      </c>
      <c r="AI18" s="45"/>
      <c r="AJ18" s="45"/>
      <c r="AK18" s="45"/>
      <c r="AL18" s="45"/>
      <c r="AM18" s="45"/>
      <c r="AN18" s="45">
        <v>0.0</v>
      </c>
      <c r="AO18" s="55"/>
      <c r="AP18" s="54"/>
      <c r="AQ18" s="54"/>
      <c r="AR18" s="54"/>
      <c r="AS18" s="54"/>
      <c r="AT18" s="54"/>
    </row>
    <row r="19">
      <c r="A19" s="35" t="s">
        <v>220</v>
      </c>
      <c r="B19" s="36" t="s">
        <v>58</v>
      </c>
      <c r="C19" s="36" t="s">
        <v>59</v>
      </c>
      <c r="D19" s="36" t="s">
        <v>221</v>
      </c>
      <c r="E19" s="62" t="s">
        <v>222</v>
      </c>
      <c r="F19" s="38" t="s">
        <v>223</v>
      </c>
      <c r="G19" s="61">
        <v>9.19015358E8</v>
      </c>
      <c r="H19" s="40"/>
      <c r="I19" s="40"/>
      <c r="J19" s="40" t="s">
        <v>224</v>
      </c>
      <c r="K19" s="41" t="s">
        <v>225</v>
      </c>
      <c r="L19" s="42" t="s">
        <v>67</v>
      </c>
      <c r="M19" s="41" t="s">
        <v>68</v>
      </c>
      <c r="N19" s="43" t="s">
        <v>69</v>
      </c>
      <c r="O19" s="44" t="s">
        <v>70</v>
      </c>
      <c r="P19" s="45"/>
      <c r="Q19" s="45" t="s">
        <v>67</v>
      </c>
      <c r="R19" s="46">
        <v>1.0</v>
      </c>
      <c r="S19" s="45" t="s">
        <v>226</v>
      </c>
      <c r="T19" s="64"/>
      <c r="U19" s="45" t="s">
        <v>226</v>
      </c>
      <c r="V19" s="45"/>
      <c r="W19" s="48">
        <v>46133.0</v>
      </c>
      <c r="X19" s="49" t="s">
        <v>227</v>
      </c>
      <c r="Y19" s="49" t="s">
        <v>72</v>
      </c>
      <c r="Z19" s="50" t="s">
        <v>73</v>
      </c>
      <c r="AA19" s="45" t="s">
        <v>74</v>
      </c>
      <c r="AB19" s="45" t="s">
        <v>67</v>
      </c>
      <c r="AC19" s="45" t="s">
        <v>75</v>
      </c>
      <c r="AD19" s="51" t="s">
        <v>76</v>
      </c>
      <c r="AE19" s="54"/>
      <c r="AF19" s="45" t="s">
        <v>67</v>
      </c>
      <c r="AG19" s="45"/>
      <c r="AH19" s="45"/>
      <c r="AI19" s="45"/>
      <c r="AJ19" s="45"/>
      <c r="AK19" s="45"/>
      <c r="AL19" s="45"/>
      <c r="AM19" s="45"/>
      <c r="AN19" s="45">
        <v>0.0</v>
      </c>
      <c r="AO19" s="55"/>
      <c r="AP19" s="54"/>
      <c r="AQ19" s="54"/>
      <c r="AR19" s="54"/>
      <c r="AS19" s="54"/>
      <c r="AT19" s="54"/>
    </row>
    <row r="20">
      <c r="A20" s="35" t="s">
        <v>228</v>
      </c>
      <c r="B20" s="36" t="s">
        <v>58</v>
      </c>
      <c r="C20" s="36" t="s">
        <v>186</v>
      </c>
      <c r="D20" s="36" t="s">
        <v>229</v>
      </c>
      <c r="E20" s="62" t="s">
        <v>230</v>
      </c>
      <c r="F20" s="38" t="s">
        <v>231</v>
      </c>
      <c r="G20" s="39" t="s">
        <v>232</v>
      </c>
      <c r="H20" s="38" t="s">
        <v>233</v>
      </c>
      <c r="I20" s="38" t="s">
        <v>234</v>
      </c>
      <c r="J20" s="40" t="s">
        <v>65</v>
      </c>
      <c r="K20" s="42" t="s">
        <v>235</v>
      </c>
      <c r="L20" s="42" t="s">
        <v>67</v>
      </c>
      <c r="M20" s="41" t="s">
        <v>68</v>
      </c>
      <c r="N20" s="43" t="s">
        <v>69</v>
      </c>
      <c r="O20" s="44" t="s">
        <v>70</v>
      </c>
      <c r="P20" s="45"/>
      <c r="Q20" s="45" t="s">
        <v>67</v>
      </c>
      <c r="R20" s="46">
        <v>1.0</v>
      </c>
      <c r="S20" s="45" t="s">
        <v>67</v>
      </c>
      <c r="T20" s="47">
        <v>46129.0</v>
      </c>
      <c r="U20" s="45" t="s">
        <v>67</v>
      </c>
      <c r="V20" s="45"/>
      <c r="W20" s="48">
        <v>46133.0</v>
      </c>
      <c r="X20" s="49" t="s">
        <v>236</v>
      </c>
      <c r="Y20" s="49" t="s">
        <v>72</v>
      </c>
      <c r="Z20" s="50" t="s">
        <v>73</v>
      </c>
      <c r="AA20" s="45" t="s">
        <v>67</v>
      </c>
      <c r="AB20" s="45" t="s">
        <v>67</v>
      </c>
      <c r="AC20" s="45" t="s">
        <v>237</v>
      </c>
      <c r="AD20" s="51" t="s">
        <v>76</v>
      </c>
      <c r="AE20" s="54"/>
      <c r="AF20" s="45" t="s">
        <v>67</v>
      </c>
      <c r="AG20" s="45"/>
      <c r="AH20" s="45">
        <v>5.0</v>
      </c>
      <c r="AI20" s="45"/>
      <c r="AJ20" s="45"/>
      <c r="AK20" s="45"/>
      <c r="AL20" s="45"/>
      <c r="AM20" s="45"/>
      <c r="AN20" s="45">
        <v>1.0</v>
      </c>
      <c r="AO20" s="55"/>
      <c r="AP20" s="54"/>
      <c r="AQ20" s="54"/>
      <c r="AR20" s="54"/>
      <c r="AS20" s="54"/>
      <c r="AT20" s="54"/>
    </row>
    <row r="21">
      <c r="A21" s="35" t="s">
        <v>238</v>
      </c>
      <c r="B21" s="36" t="s">
        <v>58</v>
      </c>
      <c r="C21" s="36" t="s">
        <v>107</v>
      </c>
      <c r="D21" s="36" t="s">
        <v>239</v>
      </c>
      <c r="E21" s="62" t="s">
        <v>240</v>
      </c>
      <c r="F21" s="38" t="s">
        <v>241</v>
      </c>
      <c r="G21" s="39" t="s">
        <v>242</v>
      </c>
      <c r="H21" s="38" t="s">
        <v>243</v>
      </c>
      <c r="I21" s="38" t="s">
        <v>244</v>
      </c>
      <c r="J21" s="40" t="s">
        <v>65</v>
      </c>
      <c r="K21" s="41" t="s">
        <v>245</v>
      </c>
      <c r="L21" s="42" t="s">
        <v>67</v>
      </c>
      <c r="M21" s="41" t="s">
        <v>68</v>
      </c>
      <c r="N21" s="43" t="s">
        <v>69</v>
      </c>
      <c r="O21" s="44" t="s">
        <v>70</v>
      </c>
      <c r="P21" s="45"/>
      <c r="Q21" s="45" t="s">
        <v>67</v>
      </c>
      <c r="R21" s="46">
        <v>1.0</v>
      </c>
      <c r="S21" s="45" t="s">
        <v>67</v>
      </c>
      <c r="T21" s="47">
        <v>46129.0</v>
      </c>
      <c r="U21" s="45" t="s">
        <v>67</v>
      </c>
      <c r="V21" s="45"/>
      <c r="W21" s="48">
        <v>46132.0</v>
      </c>
      <c r="X21" s="49" t="s">
        <v>246</v>
      </c>
      <c r="Y21" s="49" t="s">
        <v>72</v>
      </c>
      <c r="Z21" s="50" t="s">
        <v>73</v>
      </c>
      <c r="AA21" s="45" t="s">
        <v>74</v>
      </c>
      <c r="AB21" s="45" t="s">
        <v>67</v>
      </c>
      <c r="AC21" s="45" t="s">
        <v>195</v>
      </c>
      <c r="AD21" s="51" t="s">
        <v>76</v>
      </c>
      <c r="AE21" s="54"/>
      <c r="AF21" s="45" t="s">
        <v>67</v>
      </c>
      <c r="AG21" s="45"/>
      <c r="AH21" s="45">
        <v>5.0</v>
      </c>
      <c r="AI21" s="45"/>
      <c r="AJ21" s="45"/>
      <c r="AK21" s="45"/>
      <c r="AL21" s="45"/>
      <c r="AM21" s="45"/>
      <c r="AN21" s="45">
        <v>0.0</v>
      </c>
      <c r="AO21" s="55"/>
      <c r="AP21" s="54"/>
      <c r="AQ21" s="54"/>
      <c r="AR21" s="54"/>
      <c r="AS21" s="54"/>
      <c r="AT21" s="54"/>
    </row>
    <row r="22">
      <c r="A22" s="35" t="s">
        <v>247</v>
      </c>
      <c r="B22" s="36" t="s">
        <v>58</v>
      </c>
      <c r="C22" s="36" t="s">
        <v>137</v>
      </c>
      <c r="D22" s="56" t="s">
        <v>248</v>
      </c>
      <c r="E22" s="62" t="s">
        <v>249</v>
      </c>
      <c r="F22" s="38" t="s">
        <v>250</v>
      </c>
      <c r="G22" s="39" t="s">
        <v>251</v>
      </c>
      <c r="H22" s="38" t="s">
        <v>252</v>
      </c>
      <c r="I22" s="38" t="s">
        <v>253</v>
      </c>
      <c r="J22" s="40" t="s">
        <v>65</v>
      </c>
      <c r="K22" s="41" t="s">
        <v>254</v>
      </c>
      <c r="L22" s="42" t="s">
        <v>67</v>
      </c>
      <c r="M22" s="57" t="s">
        <v>203</v>
      </c>
      <c r="N22" s="58" t="s">
        <v>146</v>
      </c>
      <c r="O22" s="59" t="s">
        <v>147</v>
      </c>
      <c r="P22" s="45" t="s">
        <v>67</v>
      </c>
      <c r="Q22" s="45" t="s">
        <v>67</v>
      </c>
      <c r="R22" s="46">
        <v>4.0</v>
      </c>
      <c r="S22" s="45" t="s">
        <v>67</v>
      </c>
      <c r="T22" s="65">
        <v>46132.0</v>
      </c>
      <c r="U22" s="45" t="s">
        <v>67</v>
      </c>
      <c r="V22" s="45"/>
      <c r="W22" s="48">
        <v>46132.0</v>
      </c>
      <c r="X22" s="49" t="s">
        <v>255</v>
      </c>
      <c r="Y22" s="49" t="s">
        <v>72</v>
      </c>
      <c r="Z22" s="50" t="s">
        <v>73</v>
      </c>
      <c r="AA22" s="45" t="s">
        <v>74</v>
      </c>
      <c r="AB22" s="45" t="s">
        <v>67</v>
      </c>
      <c r="AC22" s="45" t="s">
        <v>256</v>
      </c>
      <c r="AD22" s="51" t="s">
        <v>76</v>
      </c>
      <c r="AE22" s="54"/>
      <c r="AF22" s="45" t="s">
        <v>67</v>
      </c>
      <c r="AG22" s="45"/>
      <c r="AH22" s="45">
        <v>20.0</v>
      </c>
      <c r="AI22" s="45"/>
      <c r="AJ22" s="45"/>
      <c r="AK22" s="45"/>
      <c r="AL22" s="45"/>
      <c r="AM22" s="45"/>
      <c r="AN22" s="45">
        <v>95.0</v>
      </c>
      <c r="AO22" s="60" t="s">
        <v>257</v>
      </c>
      <c r="AP22" s="54"/>
      <c r="AQ22" s="54"/>
      <c r="AR22" s="54"/>
      <c r="AS22" s="54"/>
      <c r="AT22" s="54"/>
    </row>
    <row r="23">
      <c r="A23" s="35" t="s">
        <v>258</v>
      </c>
      <c r="B23" s="36" t="s">
        <v>58</v>
      </c>
      <c r="C23" s="36" t="s">
        <v>59</v>
      </c>
      <c r="D23" s="36" t="s">
        <v>259</v>
      </c>
      <c r="E23" s="62" t="s">
        <v>260</v>
      </c>
      <c r="F23" s="38" t="s">
        <v>261</v>
      </c>
      <c r="G23" s="39" t="s">
        <v>262</v>
      </c>
      <c r="H23" s="38" t="s">
        <v>263</v>
      </c>
      <c r="I23" s="38" t="s">
        <v>264</v>
      </c>
      <c r="J23" s="40" t="s">
        <v>65</v>
      </c>
      <c r="K23" s="42" t="s">
        <v>265</v>
      </c>
      <c r="L23" s="42" t="s">
        <v>67</v>
      </c>
      <c r="M23" s="41" t="s">
        <v>68</v>
      </c>
      <c r="N23" s="43" t="s">
        <v>69</v>
      </c>
      <c r="O23" s="44" t="s">
        <v>70</v>
      </c>
      <c r="P23" s="45"/>
      <c r="Q23" s="45" t="s">
        <v>67</v>
      </c>
      <c r="R23" s="46">
        <v>1.0</v>
      </c>
      <c r="S23" s="45" t="s">
        <v>67</v>
      </c>
      <c r="T23" s="47">
        <v>46129.0</v>
      </c>
      <c r="U23" s="45" t="s">
        <v>67</v>
      </c>
      <c r="V23" s="45"/>
      <c r="W23" s="48">
        <v>46133.0</v>
      </c>
      <c r="X23" s="49" t="s">
        <v>266</v>
      </c>
      <c r="Y23" s="49" t="s">
        <v>72</v>
      </c>
      <c r="Z23" s="50" t="s">
        <v>73</v>
      </c>
      <c r="AA23" s="45" t="s">
        <v>74</v>
      </c>
      <c r="AB23" s="45" t="s">
        <v>67</v>
      </c>
      <c r="AC23" s="45" t="s">
        <v>267</v>
      </c>
      <c r="AD23" s="51" t="s">
        <v>76</v>
      </c>
      <c r="AE23" s="54"/>
      <c r="AF23" s="45" t="s">
        <v>67</v>
      </c>
      <c r="AG23" s="45"/>
      <c r="AH23" s="45">
        <v>5.0</v>
      </c>
      <c r="AI23" s="45"/>
      <c r="AJ23" s="45"/>
      <c r="AK23" s="45"/>
      <c r="AL23" s="45"/>
      <c r="AM23" s="45"/>
      <c r="AN23" s="45">
        <v>0.0</v>
      </c>
      <c r="AO23" s="55"/>
      <c r="AP23" s="54"/>
      <c r="AQ23" s="54"/>
      <c r="AR23" s="54"/>
      <c r="AS23" s="54"/>
      <c r="AT23" s="54"/>
    </row>
    <row r="24">
      <c r="A24" s="35" t="s">
        <v>268</v>
      </c>
      <c r="B24" s="36" t="s">
        <v>58</v>
      </c>
      <c r="C24" s="36" t="s">
        <v>269</v>
      </c>
      <c r="D24" s="36" t="s">
        <v>270</v>
      </c>
      <c r="E24" s="62" t="s">
        <v>271</v>
      </c>
      <c r="F24" s="38" t="s">
        <v>272</v>
      </c>
      <c r="G24" s="39" t="s">
        <v>273</v>
      </c>
      <c r="H24" s="38" t="s">
        <v>274</v>
      </c>
      <c r="I24" s="38" t="s">
        <v>275</v>
      </c>
      <c r="J24" s="40" t="s">
        <v>65</v>
      </c>
      <c r="K24" s="41" t="s">
        <v>276</v>
      </c>
      <c r="L24" s="42" t="s">
        <v>67</v>
      </c>
      <c r="M24" s="41" t="s">
        <v>68</v>
      </c>
      <c r="N24" s="43" t="s">
        <v>69</v>
      </c>
      <c r="O24" s="44" t="s">
        <v>70</v>
      </c>
      <c r="P24" s="45"/>
      <c r="Q24" s="45" t="s">
        <v>67</v>
      </c>
      <c r="R24" s="46">
        <v>1.0</v>
      </c>
      <c r="S24" s="45" t="s">
        <v>67</v>
      </c>
      <c r="T24" s="47">
        <v>46129.0</v>
      </c>
      <c r="U24" s="45" t="s">
        <v>67</v>
      </c>
      <c r="V24" s="45"/>
      <c r="W24" s="48">
        <v>46133.0</v>
      </c>
      <c r="X24" s="49" t="s">
        <v>277</v>
      </c>
      <c r="Y24" s="49" t="s">
        <v>72</v>
      </c>
      <c r="Z24" s="50" t="s">
        <v>73</v>
      </c>
      <c r="AA24" s="45" t="s">
        <v>74</v>
      </c>
      <c r="AB24" s="45" t="s">
        <v>67</v>
      </c>
      <c r="AC24" s="45" t="s">
        <v>195</v>
      </c>
      <c r="AD24" s="51" t="s">
        <v>76</v>
      </c>
      <c r="AE24" s="54"/>
      <c r="AF24" s="45" t="s">
        <v>67</v>
      </c>
      <c r="AG24" s="45"/>
      <c r="AH24" s="45">
        <v>8.0</v>
      </c>
      <c r="AI24" s="45"/>
      <c r="AJ24" s="45"/>
      <c r="AK24" s="45"/>
      <c r="AL24" s="45"/>
      <c r="AM24" s="45"/>
      <c r="AN24" s="45">
        <v>0.0</v>
      </c>
      <c r="AO24" s="55"/>
      <c r="AP24" s="54"/>
      <c r="AQ24" s="54"/>
      <c r="AR24" s="54"/>
      <c r="AS24" s="54"/>
      <c r="AT24" s="54"/>
    </row>
    <row r="25">
      <c r="A25" s="35" t="s">
        <v>278</v>
      </c>
      <c r="B25" s="36" t="s">
        <v>58</v>
      </c>
      <c r="C25" s="36" t="s">
        <v>186</v>
      </c>
      <c r="D25" s="36" t="s">
        <v>279</v>
      </c>
      <c r="E25" s="62" t="s">
        <v>280</v>
      </c>
      <c r="F25" s="38" t="s">
        <v>281</v>
      </c>
      <c r="G25" s="39" t="s">
        <v>282</v>
      </c>
      <c r="H25" s="38" t="s">
        <v>283</v>
      </c>
      <c r="I25" s="38" t="s">
        <v>284</v>
      </c>
      <c r="J25" s="40" t="s">
        <v>65</v>
      </c>
      <c r="K25" s="41" t="s">
        <v>285</v>
      </c>
      <c r="L25" s="42" t="s">
        <v>67</v>
      </c>
      <c r="M25" s="41" t="s">
        <v>68</v>
      </c>
      <c r="N25" s="43" t="s">
        <v>69</v>
      </c>
      <c r="O25" s="44" t="s">
        <v>70</v>
      </c>
      <c r="P25" s="45"/>
      <c r="Q25" s="45" t="s">
        <v>67</v>
      </c>
      <c r="R25" s="46">
        <v>1.0</v>
      </c>
      <c r="S25" s="45" t="s">
        <v>67</v>
      </c>
      <c r="T25" s="47">
        <v>46129.0</v>
      </c>
      <c r="U25" s="45" t="s">
        <v>67</v>
      </c>
      <c r="V25" s="45"/>
      <c r="W25" s="48">
        <v>46133.0</v>
      </c>
      <c r="X25" s="49" t="s">
        <v>286</v>
      </c>
      <c r="Y25" s="49" t="s">
        <v>72</v>
      </c>
      <c r="Z25" s="50" t="s">
        <v>73</v>
      </c>
      <c r="AA25" s="45" t="s">
        <v>74</v>
      </c>
      <c r="AB25" s="45" t="s">
        <v>67</v>
      </c>
      <c r="AC25" s="45" t="s">
        <v>287</v>
      </c>
      <c r="AD25" s="51" t="s">
        <v>76</v>
      </c>
      <c r="AE25" s="54"/>
      <c r="AF25" s="45" t="s">
        <v>67</v>
      </c>
      <c r="AG25" s="45"/>
      <c r="AH25" s="45">
        <v>15.0</v>
      </c>
      <c r="AI25" s="45"/>
      <c r="AJ25" s="45"/>
      <c r="AK25" s="45"/>
      <c r="AL25" s="45"/>
      <c r="AM25" s="45"/>
      <c r="AN25" s="45">
        <v>0.0</v>
      </c>
      <c r="AO25" s="55"/>
      <c r="AP25" s="54"/>
      <c r="AQ25" s="54"/>
      <c r="AR25" s="54"/>
      <c r="AS25" s="54"/>
      <c r="AT25" s="54"/>
    </row>
    <row r="26">
      <c r="A26" s="35" t="s">
        <v>288</v>
      </c>
      <c r="B26" s="36" t="s">
        <v>58</v>
      </c>
      <c r="C26" s="36" t="s">
        <v>269</v>
      </c>
      <c r="D26" s="36" t="s">
        <v>289</v>
      </c>
      <c r="E26" s="62" t="s">
        <v>290</v>
      </c>
      <c r="F26" s="38" t="s">
        <v>291</v>
      </c>
      <c r="G26" s="39" t="s">
        <v>292</v>
      </c>
      <c r="H26" s="38" t="s">
        <v>293</v>
      </c>
      <c r="I26" s="38" t="s">
        <v>294</v>
      </c>
      <c r="J26" s="40" t="s">
        <v>65</v>
      </c>
      <c r="K26" s="42" t="s">
        <v>295</v>
      </c>
      <c r="L26" s="42" t="s">
        <v>67</v>
      </c>
      <c r="M26" s="41" t="s">
        <v>68</v>
      </c>
      <c r="N26" s="43" t="s">
        <v>69</v>
      </c>
      <c r="O26" s="44" t="s">
        <v>70</v>
      </c>
      <c r="P26" s="45"/>
      <c r="Q26" s="45" t="s">
        <v>67</v>
      </c>
      <c r="R26" s="46">
        <v>1.0</v>
      </c>
      <c r="S26" s="45" t="s">
        <v>67</v>
      </c>
      <c r="T26" s="47">
        <v>46129.0</v>
      </c>
      <c r="U26" s="45" t="s">
        <v>67</v>
      </c>
      <c r="V26" s="45"/>
      <c r="W26" s="48">
        <v>46133.0</v>
      </c>
      <c r="X26" s="49" t="s">
        <v>296</v>
      </c>
      <c r="Y26" s="49" t="s">
        <v>72</v>
      </c>
      <c r="Z26" s="50" t="s">
        <v>73</v>
      </c>
      <c r="AA26" s="45" t="s">
        <v>74</v>
      </c>
      <c r="AB26" s="45" t="s">
        <v>67</v>
      </c>
      <c r="AC26" s="45" t="s">
        <v>96</v>
      </c>
      <c r="AD26" s="51" t="s">
        <v>76</v>
      </c>
      <c r="AE26" s="54"/>
      <c r="AF26" s="45" t="s">
        <v>67</v>
      </c>
      <c r="AG26" s="45"/>
      <c r="AH26" s="45">
        <v>5.0</v>
      </c>
      <c r="AI26" s="45"/>
      <c r="AJ26" s="45"/>
      <c r="AK26" s="45"/>
      <c r="AL26" s="45"/>
      <c r="AM26" s="45"/>
      <c r="AN26" s="45">
        <v>1.0</v>
      </c>
      <c r="AO26" s="55"/>
      <c r="AP26" s="54"/>
      <c r="AQ26" s="54"/>
      <c r="AR26" s="54"/>
      <c r="AS26" s="54"/>
      <c r="AT26" s="54"/>
    </row>
    <row r="27">
      <c r="A27" s="35" t="s">
        <v>297</v>
      </c>
      <c r="B27" s="36" t="s">
        <v>58</v>
      </c>
      <c r="C27" s="36" t="s">
        <v>186</v>
      </c>
      <c r="D27" s="36" t="s">
        <v>298</v>
      </c>
      <c r="E27" s="62" t="s">
        <v>299</v>
      </c>
      <c r="F27" s="38" t="s">
        <v>300</v>
      </c>
      <c r="G27" s="39" t="s">
        <v>301</v>
      </c>
      <c r="H27" s="38" t="s">
        <v>302</v>
      </c>
      <c r="I27" s="38" t="s">
        <v>303</v>
      </c>
      <c r="J27" s="40" t="s">
        <v>65</v>
      </c>
      <c r="K27" s="41" t="s">
        <v>304</v>
      </c>
      <c r="L27" s="42" t="s">
        <v>67</v>
      </c>
      <c r="M27" s="41" t="s">
        <v>68</v>
      </c>
      <c r="N27" s="43" t="s">
        <v>69</v>
      </c>
      <c r="O27" s="44" t="s">
        <v>70</v>
      </c>
      <c r="P27" s="45"/>
      <c r="Q27" s="45" t="s">
        <v>67</v>
      </c>
      <c r="R27" s="46">
        <v>1.0</v>
      </c>
      <c r="S27" s="45" t="s">
        <v>67</v>
      </c>
      <c r="T27" s="47">
        <v>46129.0</v>
      </c>
      <c r="U27" s="45" t="s">
        <v>67</v>
      </c>
      <c r="V27" s="45"/>
      <c r="W27" s="48">
        <v>46133.0</v>
      </c>
      <c r="X27" s="49" t="s">
        <v>305</v>
      </c>
      <c r="Y27" s="49" t="s">
        <v>72</v>
      </c>
      <c r="Z27" s="50" t="s">
        <v>73</v>
      </c>
      <c r="AA27" s="45" t="s">
        <v>74</v>
      </c>
      <c r="AB27" s="45" t="s">
        <v>67</v>
      </c>
      <c r="AC27" s="45" t="s">
        <v>306</v>
      </c>
      <c r="AD27" s="51" t="s">
        <v>76</v>
      </c>
      <c r="AE27" s="54"/>
      <c r="AF27" s="45" t="s">
        <v>67</v>
      </c>
      <c r="AG27" s="45"/>
      <c r="AH27" s="45">
        <v>12.0</v>
      </c>
      <c r="AI27" s="45"/>
      <c r="AJ27" s="45"/>
      <c r="AK27" s="45"/>
      <c r="AL27" s="45"/>
      <c r="AM27" s="45"/>
      <c r="AN27" s="45">
        <v>0.0</v>
      </c>
      <c r="AO27" s="55"/>
      <c r="AP27" s="54"/>
      <c r="AQ27" s="54"/>
      <c r="AR27" s="54"/>
      <c r="AS27" s="54"/>
      <c r="AT27" s="54"/>
    </row>
    <row r="28">
      <c r="A28" s="35" t="s">
        <v>307</v>
      </c>
      <c r="B28" s="36" t="s">
        <v>58</v>
      </c>
      <c r="C28" s="36" t="s">
        <v>308</v>
      </c>
      <c r="D28" s="36" t="s">
        <v>309</v>
      </c>
      <c r="E28" s="62" t="s">
        <v>310</v>
      </c>
      <c r="F28" s="38" t="s">
        <v>311</v>
      </c>
      <c r="G28" s="39" t="s">
        <v>312</v>
      </c>
      <c r="H28" s="38" t="s">
        <v>313</v>
      </c>
      <c r="I28" s="38" t="s">
        <v>314</v>
      </c>
      <c r="J28" s="40" t="s">
        <v>65</v>
      </c>
      <c r="K28" s="42" t="s">
        <v>315</v>
      </c>
      <c r="L28" s="42" t="s">
        <v>67</v>
      </c>
      <c r="M28" s="66" t="s">
        <v>316</v>
      </c>
      <c r="N28" s="58" t="s">
        <v>146</v>
      </c>
      <c r="O28" s="59" t="s">
        <v>147</v>
      </c>
      <c r="P28" s="45" t="s">
        <v>67</v>
      </c>
      <c r="Q28" s="45" t="s">
        <v>67</v>
      </c>
      <c r="R28" s="46">
        <v>1.0</v>
      </c>
      <c r="S28" s="45" t="s">
        <v>67</v>
      </c>
      <c r="T28" s="47">
        <v>46129.0</v>
      </c>
      <c r="U28" s="45" t="s">
        <v>67</v>
      </c>
      <c r="V28" s="45"/>
      <c r="W28" s="48">
        <v>46132.0</v>
      </c>
      <c r="X28" s="49" t="s">
        <v>317</v>
      </c>
      <c r="Y28" s="49" t="s">
        <v>72</v>
      </c>
      <c r="Z28" s="50" t="s">
        <v>73</v>
      </c>
      <c r="AA28" s="45" t="s">
        <v>74</v>
      </c>
      <c r="AB28" s="45" t="s">
        <v>67</v>
      </c>
      <c r="AC28" s="45" t="s">
        <v>256</v>
      </c>
      <c r="AD28" s="51" t="s">
        <v>76</v>
      </c>
      <c r="AE28" s="54"/>
      <c r="AF28" s="45" t="s">
        <v>67</v>
      </c>
      <c r="AG28" s="45"/>
      <c r="AH28" s="45">
        <v>50.0</v>
      </c>
      <c r="AI28" s="45"/>
      <c r="AJ28" s="45"/>
      <c r="AK28" s="45"/>
      <c r="AL28" s="45"/>
      <c r="AM28" s="45"/>
      <c r="AN28" s="45">
        <v>0.0</v>
      </c>
      <c r="AO28" s="55"/>
      <c r="AP28" s="54"/>
      <c r="AQ28" s="54"/>
      <c r="AR28" s="54"/>
      <c r="AS28" s="54"/>
      <c r="AT28" s="54"/>
    </row>
    <row r="29">
      <c r="A29" s="35" t="s">
        <v>318</v>
      </c>
      <c r="B29" s="36" t="s">
        <v>319</v>
      </c>
      <c r="C29" s="36" t="s">
        <v>320</v>
      </c>
      <c r="D29" s="36" t="s">
        <v>321</v>
      </c>
      <c r="E29" s="62" t="s">
        <v>322</v>
      </c>
      <c r="F29" s="38" t="s">
        <v>323</v>
      </c>
      <c r="G29" s="39" t="s">
        <v>324</v>
      </c>
      <c r="H29" s="38" t="s">
        <v>325</v>
      </c>
      <c r="I29" s="38" t="s">
        <v>326</v>
      </c>
      <c r="J29" s="40" t="s">
        <v>65</v>
      </c>
      <c r="K29" s="41" t="s">
        <v>327</v>
      </c>
      <c r="L29" s="42" t="s">
        <v>67</v>
      </c>
      <c r="M29" s="41" t="s">
        <v>328</v>
      </c>
      <c r="N29" s="43" t="s">
        <v>329</v>
      </c>
      <c r="O29" s="44">
        <v>9.97795341E8</v>
      </c>
      <c r="P29" s="45"/>
      <c r="Q29" s="45" t="s">
        <v>67</v>
      </c>
      <c r="R29" s="46">
        <v>1.0</v>
      </c>
      <c r="S29" s="45" t="s">
        <v>67</v>
      </c>
      <c r="T29" s="47">
        <v>46132.0</v>
      </c>
      <c r="U29" s="45" t="s">
        <v>67</v>
      </c>
      <c r="V29" s="45"/>
      <c r="W29" s="48">
        <v>46133.0</v>
      </c>
      <c r="X29" s="49" t="s">
        <v>330</v>
      </c>
      <c r="Y29" s="49" t="s">
        <v>72</v>
      </c>
      <c r="Z29" s="50" t="s">
        <v>73</v>
      </c>
      <c r="AA29" s="45" t="s">
        <v>74</v>
      </c>
      <c r="AB29" s="45" t="s">
        <v>67</v>
      </c>
      <c r="AC29" s="45" t="s">
        <v>75</v>
      </c>
      <c r="AD29" s="51" t="s">
        <v>76</v>
      </c>
      <c r="AE29" s="54"/>
      <c r="AF29" s="45" t="s">
        <v>67</v>
      </c>
      <c r="AG29" s="45"/>
      <c r="AH29" s="45">
        <v>15.0</v>
      </c>
      <c r="AI29" s="45"/>
      <c r="AJ29" s="45"/>
      <c r="AK29" s="45"/>
      <c r="AL29" s="45"/>
      <c r="AM29" s="45"/>
      <c r="AN29" s="45">
        <v>0.0</v>
      </c>
      <c r="AO29" s="55"/>
      <c r="AP29" s="54"/>
      <c r="AQ29" s="54"/>
      <c r="AR29" s="54"/>
      <c r="AS29" s="54"/>
      <c r="AT29" s="54"/>
    </row>
    <row r="30">
      <c r="A30" s="35" t="s">
        <v>331</v>
      </c>
      <c r="B30" s="36" t="s">
        <v>319</v>
      </c>
      <c r="C30" s="36" t="s">
        <v>332</v>
      </c>
      <c r="D30" s="36" t="s">
        <v>333</v>
      </c>
      <c r="E30" s="62" t="s">
        <v>334</v>
      </c>
      <c r="F30" s="38" t="s">
        <v>335</v>
      </c>
      <c r="G30" s="39" t="s">
        <v>336</v>
      </c>
      <c r="H30" s="38"/>
      <c r="I30" s="38" t="s">
        <v>337</v>
      </c>
      <c r="J30" s="40" t="s">
        <v>65</v>
      </c>
      <c r="K30" s="41" t="s">
        <v>338</v>
      </c>
      <c r="L30" s="42" t="s">
        <v>74</v>
      </c>
      <c r="M30" s="41" t="s">
        <v>339</v>
      </c>
      <c r="N30" s="43" t="s">
        <v>340</v>
      </c>
      <c r="O30" s="44" t="s">
        <v>341</v>
      </c>
      <c r="P30" s="45"/>
      <c r="Q30" s="45" t="s">
        <v>67</v>
      </c>
      <c r="R30" s="46">
        <v>2.0</v>
      </c>
      <c r="S30" s="45" t="s">
        <v>67</v>
      </c>
      <c r="T30" s="47">
        <v>46129.0</v>
      </c>
      <c r="U30" s="45" t="s">
        <v>67</v>
      </c>
      <c r="V30" s="45"/>
      <c r="W30" s="48">
        <v>46133.0</v>
      </c>
      <c r="X30" s="49" t="s">
        <v>342</v>
      </c>
      <c r="Y30" s="49" t="s">
        <v>72</v>
      </c>
      <c r="Z30" s="50" t="s">
        <v>73</v>
      </c>
      <c r="AA30" s="45" t="s">
        <v>74</v>
      </c>
      <c r="AB30" s="45" t="s">
        <v>67</v>
      </c>
      <c r="AC30" s="45" t="s">
        <v>343</v>
      </c>
      <c r="AD30" s="51" t="s">
        <v>76</v>
      </c>
      <c r="AE30" s="54"/>
      <c r="AF30" s="45" t="s">
        <v>67</v>
      </c>
      <c r="AG30" s="45"/>
      <c r="AH30" s="45">
        <v>29.0</v>
      </c>
      <c r="AI30" s="45"/>
      <c r="AJ30" s="45"/>
      <c r="AK30" s="45"/>
      <c r="AL30" s="45"/>
      <c r="AM30" s="45"/>
      <c r="AN30" s="45">
        <v>0.0</v>
      </c>
      <c r="AO30" s="55"/>
      <c r="AP30" s="54"/>
      <c r="AQ30" s="54"/>
      <c r="AR30" s="54"/>
      <c r="AS30" s="54"/>
      <c r="AT30" s="54"/>
    </row>
    <row r="31">
      <c r="A31" s="35" t="s">
        <v>344</v>
      </c>
      <c r="B31" s="36" t="s">
        <v>319</v>
      </c>
      <c r="C31" s="36" t="s">
        <v>345</v>
      </c>
      <c r="D31" s="56" t="s">
        <v>346</v>
      </c>
      <c r="E31" s="62" t="s">
        <v>347</v>
      </c>
      <c r="F31" s="38" t="s">
        <v>348</v>
      </c>
      <c r="G31" s="61">
        <v>9.27259865E8</v>
      </c>
      <c r="H31" s="40"/>
      <c r="I31" s="40">
        <v>817.0</v>
      </c>
      <c r="J31" s="40" t="s">
        <v>65</v>
      </c>
      <c r="K31" s="42" t="s">
        <v>349</v>
      </c>
      <c r="L31" s="42" t="s">
        <v>67</v>
      </c>
      <c r="M31" s="41" t="s">
        <v>339</v>
      </c>
      <c r="N31" s="43" t="s">
        <v>340</v>
      </c>
      <c r="O31" s="44" t="s">
        <v>341</v>
      </c>
      <c r="P31" s="45"/>
      <c r="Q31" s="45" t="s">
        <v>67</v>
      </c>
      <c r="R31" s="46">
        <v>1.0</v>
      </c>
      <c r="S31" s="45" t="s">
        <v>67</v>
      </c>
      <c r="T31" s="47">
        <v>46133.0</v>
      </c>
      <c r="U31" s="45" t="s">
        <v>67</v>
      </c>
      <c r="V31" s="45"/>
      <c r="W31" s="48">
        <v>46134.0</v>
      </c>
      <c r="X31" s="49" t="s">
        <v>350</v>
      </c>
      <c r="Y31" s="49" t="s">
        <v>72</v>
      </c>
      <c r="Z31" s="50" t="s">
        <v>73</v>
      </c>
      <c r="AA31" s="45" t="s">
        <v>67</v>
      </c>
      <c r="AB31" s="45" t="s">
        <v>67</v>
      </c>
      <c r="AC31" s="45" t="s">
        <v>135</v>
      </c>
      <c r="AD31" s="51" t="s">
        <v>76</v>
      </c>
      <c r="AE31" s="54"/>
      <c r="AF31" s="45" t="s">
        <v>67</v>
      </c>
      <c r="AG31" s="45"/>
      <c r="AH31" s="45">
        <v>41.0</v>
      </c>
      <c r="AI31" s="45"/>
      <c r="AJ31" s="45"/>
      <c r="AK31" s="45"/>
      <c r="AL31" s="45"/>
      <c r="AM31" s="45"/>
      <c r="AN31" s="45">
        <v>0.0</v>
      </c>
      <c r="AO31" s="55"/>
      <c r="AP31" s="54"/>
      <c r="AQ31" s="54"/>
      <c r="AR31" s="54"/>
      <c r="AS31" s="54"/>
      <c r="AT31" s="54"/>
    </row>
    <row r="32">
      <c r="A32" s="35" t="s">
        <v>344</v>
      </c>
      <c r="B32" s="36" t="s">
        <v>319</v>
      </c>
      <c r="C32" s="36" t="s">
        <v>345</v>
      </c>
      <c r="D32" s="56" t="s">
        <v>346</v>
      </c>
      <c r="E32" s="62" t="s">
        <v>351</v>
      </c>
      <c r="F32" s="38" t="s">
        <v>352</v>
      </c>
      <c r="G32" s="61">
        <v>9.85640863E8</v>
      </c>
      <c r="H32" s="40"/>
      <c r="I32" s="40">
        <v>818.0</v>
      </c>
      <c r="J32" s="40" t="s">
        <v>65</v>
      </c>
      <c r="K32" s="41" t="s">
        <v>353</v>
      </c>
      <c r="L32" s="42" t="s">
        <v>67</v>
      </c>
      <c r="M32" s="41" t="s">
        <v>339</v>
      </c>
      <c r="N32" s="43" t="s">
        <v>340</v>
      </c>
      <c r="O32" s="44" t="s">
        <v>341</v>
      </c>
      <c r="P32" s="45"/>
      <c r="Q32" s="45" t="s">
        <v>67</v>
      </c>
      <c r="R32" s="46">
        <v>1.0</v>
      </c>
      <c r="S32" s="45" t="s">
        <v>67</v>
      </c>
      <c r="T32" s="47">
        <v>46133.0</v>
      </c>
      <c r="U32" s="45" t="s">
        <v>67</v>
      </c>
      <c r="V32" s="45"/>
      <c r="W32" s="48">
        <v>46134.0</v>
      </c>
      <c r="X32" s="49" t="s">
        <v>350</v>
      </c>
      <c r="Y32" s="49" t="s">
        <v>72</v>
      </c>
      <c r="Z32" s="50" t="s">
        <v>73</v>
      </c>
      <c r="AA32" s="45" t="s">
        <v>67</v>
      </c>
      <c r="AB32" s="45" t="s">
        <v>67</v>
      </c>
      <c r="AC32" s="45" t="s">
        <v>135</v>
      </c>
      <c r="AD32" s="51" t="s">
        <v>76</v>
      </c>
      <c r="AE32" s="54"/>
      <c r="AF32" s="45" t="s">
        <v>67</v>
      </c>
      <c r="AG32" s="45"/>
      <c r="AH32" s="45" t="s">
        <v>154</v>
      </c>
      <c r="AI32" s="45"/>
      <c r="AJ32" s="45"/>
      <c r="AK32" s="45"/>
      <c r="AL32" s="45"/>
      <c r="AM32" s="45"/>
      <c r="AN32" s="45" t="s">
        <v>154</v>
      </c>
      <c r="AO32" s="55"/>
      <c r="AP32" s="54"/>
      <c r="AQ32" s="54"/>
      <c r="AR32" s="54"/>
      <c r="AS32" s="54"/>
      <c r="AT32" s="54"/>
    </row>
    <row r="33">
      <c r="A33" s="35" t="s">
        <v>354</v>
      </c>
      <c r="B33" s="36" t="s">
        <v>319</v>
      </c>
      <c r="C33" s="36" t="s">
        <v>320</v>
      </c>
      <c r="D33" s="61" t="s">
        <v>355</v>
      </c>
      <c r="E33" s="62" t="s">
        <v>356</v>
      </c>
      <c r="F33" s="38" t="s">
        <v>357</v>
      </c>
      <c r="G33" s="61">
        <v>9.97795341E8</v>
      </c>
      <c r="H33" s="40" t="s">
        <v>358</v>
      </c>
      <c r="I33" s="40" t="s">
        <v>201</v>
      </c>
      <c r="J33" s="40" t="s">
        <v>149</v>
      </c>
      <c r="K33" s="41" t="s">
        <v>359</v>
      </c>
      <c r="L33" s="42" t="s">
        <v>74</v>
      </c>
      <c r="M33" s="41" t="s">
        <v>328</v>
      </c>
      <c r="N33" s="43" t="s">
        <v>329</v>
      </c>
      <c r="O33" s="44">
        <v>9.97795341E8</v>
      </c>
      <c r="P33" s="45"/>
      <c r="Q33" s="45" t="s">
        <v>67</v>
      </c>
      <c r="R33" s="46">
        <v>1.0</v>
      </c>
      <c r="S33" s="45" t="s">
        <v>74</v>
      </c>
      <c r="T33" s="63" t="s">
        <v>360</v>
      </c>
      <c r="U33" s="45" t="s">
        <v>74</v>
      </c>
      <c r="V33" s="45"/>
      <c r="W33" s="63" t="s">
        <v>360</v>
      </c>
      <c r="X33" s="49" t="s">
        <v>205</v>
      </c>
      <c r="Y33" s="49"/>
      <c r="Z33" s="50" t="s">
        <v>73</v>
      </c>
      <c r="AA33" s="45" t="s">
        <v>74</v>
      </c>
      <c r="AB33" s="45" t="s">
        <v>67</v>
      </c>
      <c r="AC33" s="45"/>
      <c r="AD33" s="51" t="s">
        <v>76</v>
      </c>
      <c r="AE33" s="54"/>
      <c r="AF33" s="45"/>
      <c r="AG33" s="45"/>
      <c r="AH33" s="45">
        <v>0.0</v>
      </c>
      <c r="AI33" s="45"/>
      <c r="AJ33" s="45"/>
      <c r="AK33" s="45"/>
      <c r="AL33" s="45"/>
      <c r="AM33" s="45"/>
      <c r="AN33" s="45" t="s">
        <v>154</v>
      </c>
      <c r="AO33" s="55"/>
      <c r="AP33" s="54"/>
      <c r="AQ33" s="54"/>
      <c r="AR33" s="54"/>
      <c r="AS33" s="54"/>
      <c r="AT33" s="54"/>
    </row>
    <row r="34">
      <c r="A34" s="35" t="s">
        <v>361</v>
      </c>
      <c r="B34" s="36" t="s">
        <v>319</v>
      </c>
      <c r="C34" s="36" t="s">
        <v>320</v>
      </c>
      <c r="D34" s="36" t="s">
        <v>362</v>
      </c>
      <c r="E34" s="62" t="s">
        <v>363</v>
      </c>
      <c r="F34" s="38" t="s">
        <v>364</v>
      </c>
      <c r="G34" s="61">
        <v>9.19736729E8</v>
      </c>
      <c r="H34" s="40"/>
      <c r="I34" s="40"/>
      <c r="J34" s="40" t="s">
        <v>65</v>
      </c>
      <c r="K34" s="42" t="s">
        <v>365</v>
      </c>
      <c r="L34" s="42" t="s">
        <v>67</v>
      </c>
      <c r="M34" s="41" t="s">
        <v>328</v>
      </c>
      <c r="N34" s="43" t="s">
        <v>329</v>
      </c>
      <c r="O34" s="44">
        <v>9.97795341E8</v>
      </c>
      <c r="P34" s="45"/>
      <c r="Q34" s="45" t="s">
        <v>67</v>
      </c>
      <c r="R34" s="46">
        <v>1.0</v>
      </c>
      <c r="S34" s="45" t="s">
        <v>67</v>
      </c>
      <c r="T34" s="47">
        <v>46133.0</v>
      </c>
      <c r="U34" s="45" t="s">
        <v>67</v>
      </c>
      <c r="V34" s="45"/>
      <c r="W34" s="48">
        <v>46134.0</v>
      </c>
      <c r="X34" s="49" t="s">
        <v>366</v>
      </c>
      <c r="Y34" s="49" t="s">
        <v>72</v>
      </c>
      <c r="Z34" s="50" t="s">
        <v>73</v>
      </c>
      <c r="AA34" s="45" t="s">
        <v>74</v>
      </c>
      <c r="AB34" s="45" t="s">
        <v>67</v>
      </c>
      <c r="AC34" s="45" t="s">
        <v>306</v>
      </c>
      <c r="AD34" s="51" t="s">
        <v>76</v>
      </c>
      <c r="AE34" s="54"/>
      <c r="AF34" s="45" t="s">
        <v>67</v>
      </c>
      <c r="AG34" s="45"/>
      <c r="AH34" s="45">
        <v>15.0</v>
      </c>
      <c r="AI34" s="45"/>
      <c r="AJ34" s="45"/>
      <c r="AK34" s="45"/>
      <c r="AL34" s="45"/>
      <c r="AM34" s="45"/>
      <c r="AN34" s="45">
        <v>2.0</v>
      </c>
      <c r="AO34" s="55"/>
      <c r="AP34" s="67" t="s">
        <v>367</v>
      </c>
      <c r="AQ34" s="54"/>
      <c r="AR34" s="54"/>
      <c r="AS34" s="54"/>
      <c r="AT34" s="54"/>
    </row>
    <row r="35">
      <c r="A35" s="35" t="s">
        <v>368</v>
      </c>
      <c r="B35" s="36" t="s">
        <v>319</v>
      </c>
      <c r="C35" s="36" t="s">
        <v>369</v>
      </c>
      <c r="D35" s="36" t="s">
        <v>370</v>
      </c>
      <c r="E35" s="62" t="s">
        <v>371</v>
      </c>
      <c r="F35" s="54" t="s">
        <v>372</v>
      </c>
      <c r="G35" s="61">
        <v>9.92459461E8</v>
      </c>
      <c r="H35" s="40"/>
      <c r="I35" s="40">
        <v>815.0</v>
      </c>
      <c r="J35" s="40" t="s">
        <v>65</v>
      </c>
      <c r="K35" s="41" t="s">
        <v>373</v>
      </c>
      <c r="L35" s="42" t="s">
        <v>74</v>
      </c>
      <c r="M35" s="41" t="s">
        <v>374</v>
      </c>
      <c r="N35" s="43" t="s">
        <v>375</v>
      </c>
      <c r="O35" s="44" t="s">
        <v>376</v>
      </c>
      <c r="P35" s="45"/>
      <c r="Q35" s="45" t="s">
        <v>67</v>
      </c>
      <c r="R35" s="46">
        <v>1.0</v>
      </c>
      <c r="S35" s="45" t="s">
        <v>67</v>
      </c>
      <c r="T35" s="47"/>
      <c r="U35" s="45"/>
      <c r="V35" s="45"/>
      <c r="W35" s="68">
        <v>46133.0</v>
      </c>
      <c r="X35" s="49" t="s">
        <v>377</v>
      </c>
      <c r="Y35" s="49" t="s">
        <v>378</v>
      </c>
      <c r="Z35" s="40" t="s">
        <v>379</v>
      </c>
      <c r="AA35" s="45" t="s">
        <v>67</v>
      </c>
      <c r="AB35" s="45" t="s">
        <v>67</v>
      </c>
      <c r="AC35" s="45" t="s">
        <v>135</v>
      </c>
      <c r="AD35" s="51" t="s">
        <v>76</v>
      </c>
      <c r="AE35" s="54"/>
      <c r="AF35" s="45" t="s">
        <v>67</v>
      </c>
      <c r="AG35" s="45"/>
      <c r="AH35" s="45">
        <v>52.0</v>
      </c>
      <c r="AI35" s="45">
        <v>31.0</v>
      </c>
      <c r="AJ35" s="45"/>
      <c r="AK35" s="45"/>
      <c r="AL35" s="45"/>
      <c r="AM35" s="45"/>
      <c r="AN35" s="45">
        <v>0.0</v>
      </c>
      <c r="AO35" s="55"/>
      <c r="AP35" s="54"/>
      <c r="AQ35" s="54"/>
      <c r="AR35" s="54"/>
      <c r="AS35" s="54"/>
      <c r="AT35" s="54"/>
    </row>
    <row r="36">
      <c r="A36" s="35" t="s">
        <v>368</v>
      </c>
      <c r="B36" s="36" t="s">
        <v>319</v>
      </c>
      <c r="C36" s="36" t="s">
        <v>369</v>
      </c>
      <c r="D36" s="36" t="s">
        <v>370</v>
      </c>
      <c r="E36" s="62" t="s">
        <v>380</v>
      </c>
      <c r="F36" s="38" t="s">
        <v>381</v>
      </c>
      <c r="G36" s="61" t="s">
        <v>382</v>
      </c>
      <c r="H36" s="40"/>
      <c r="I36" s="40">
        <v>814.0</v>
      </c>
      <c r="J36" s="40" t="s">
        <v>65</v>
      </c>
      <c r="K36" s="42" t="s">
        <v>383</v>
      </c>
      <c r="L36" s="42" t="s">
        <v>67</v>
      </c>
      <c r="M36" s="41" t="s">
        <v>374</v>
      </c>
      <c r="N36" s="43" t="s">
        <v>375</v>
      </c>
      <c r="O36" s="44" t="s">
        <v>376</v>
      </c>
      <c r="P36" s="45"/>
      <c r="Q36" s="45" t="s">
        <v>67</v>
      </c>
      <c r="R36" s="46">
        <v>1.0</v>
      </c>
      <c r="S36" s="45" t="s">
        <v>67</v>
      </c>
      <c r="T36" s="58"/>
      <c r="U36" s="45"/>
      <c r="V36" s="45"/>
      <c r="W36" s="68">
        <v>46133.0</v>
      </c>
      <c r="X36" s="49" t="s">
        <v>384</v>
      </c>
      <c r="Y36" s="49" t="s">
        <v>378</v>
      </c>
      <c r="Z36" s="40" t="s">
        <v>379</v>
      </c>
      <c r="AA36" s="45" t="s">
        <v>67</v>
      </c>
      <c r="AB36" s="45" t="s">
        <v>67</v>
      </c>
      <c r="AC36" s="45" t="s">
        <v>135</v>
      </c>
      <c r="AD36" s="51" t="s">
        <v>76</v>
      </c>
      <c r="AE36" s="54"/>
      <c r="AF36" s="45" t="s">
        <v>67</v>
      </c>
      <c r="AG36" s="45"/>
      <c r="AH36" s="45">
        <v>52.0</v>
      </c>
      <c r="AI36" s="45">
        <v>31.0</v>
      </c>
      <c r="AJ36" s="45"/>
      <c r="AK36" s="45"/>
      <c r="AL36" s="45"/>
      <c r="AM36" s="45"/>
      <c r="AN36" s="45">
        <v>0.0</v>
      </c>
      <c r="AO36" s="55"/>
      <c r="AP36" s="54"/>
      <c r="AQ36" s="54"/>
      <c r="AR36" s="54"/>
      <c r="AS36" s="54"/>
      <c r="AT36" s="54"/>
    </row>
    <row r="37">
      <c r="A37" s="35" t="s">
        <v>385</v>
      </c>
      <c r="B37" s="36" t="s">
        <v>319</v>
      </c>
      <c r="C37" s="36" t="s">
        <v>386</v>
      </c>
      <c r="D37" s="36" t="s">
        <v>387</v>
      </c>
      <c r="E37" s="62" t="s">
        <v>388</v>
      </c>
      <c r="F37" s="38" t="s">
        <v>389</v>
      </c>
      <c r="G37" s="61" t="s">
        <v>390</v>
      </c>
      <c r="H37" s="40"/>
      <c r="I37" s="40">
        <v>799.0</v>
      </c>
      <c r="J37" s="40" t="s">
        <v>65</v>
      </c>
      <c r="K37" s="41" t="s">
        <v>391</v>
      </c>
      <c r="L37" s="42" t="s">
        <v>67</v>
      </c>
      <c r="M37" s="41" t="s">
        <v>339</v>
      </c>
      <c r="N37" s="43" t="s">
        <v>340</v>
      </c>
      <c r="O37" s="44" t="s">
        <v>341</v>
      </c>
      <c r="P37" s="45"/>
      <c r="Q37" s="45" t="s">
        <v>67</v>
      </c>
      <c r="R37" s="46">
        <v>1.0</v>
      </c>
      <c r="S37" s="45" t="s">
        <v>67</v>
      </c>
      <c r="T37" s="64"/>
      <c r="U37" s="45"/>
      <c r="V37" s="45"/>
      <c r="W37" s="68">
        <v>46133.0</v>
      </c>
      <c r="X37" s="49" t="s">
        <v>392</v>
      </c>
      <c r="Y37" s="49" t="s">
        <v>393</v>
      </c>
      <c r="Z37" s="40" t="s">
        <v>379</v>
      </c>
      <c r="AA37" s="45" t="s">
        <v>74</v>
      </c>
      <c r="AB37" s="45" t="s">
        <v>67</v>
      </c>
      <c r="AC37" s="45" t="s">
        <v>287</v>
      </c>
      <c r="AD37" s="51" t="s">
        <v>76</v>
      </c>
      <c r="AE37" s="54"/>
      <c r="AF37" s="45" t="s">
        <v>67</v>
      </c>
      <c r="AG37" s="45"/>
      <c r="AH37" s="45">
        <v>5.0</v>
      </c>
      <c r="AI37" s="69"/>
      <c r="AJ37" s="45"/>
      <c r="AK37" s="45"/>
      <c r="AL37" s="45"/>
      <c r="AM37" s="45"/>
      <c r="AN37" s="45">
        <v>0.0</v>
      </c>
      <c r="AO37" s="55"/>
      <c r="AP37" s="54"/>
      <c r="AQ37" s="67" t="s">
        <v>394</v>
      </c>
      <c r="AR37" s="54"/>
      <c r="AS37" s="54"/>
      <c r="AT37" s="54"/>
    </row>
    <row r="38">
      <c r="A38" s="35" t="s">
        <v>395</v>
      </c>
      <c r="B38" s="36" t="s">
        <v>319</v>
      </c>
      <c r="C38" s="36" t="s">
        <v>320</v>
      </c>
      <c r="D38" s="36" t="s">
        <v>396</v>
      </c>
      <c r="E38" s="62" t="s">
        <v>397</v>
      </c>
      <c r="F38" s="38" t="s">
        <v>398</v>
      </c>
      <c r="G38" s="61">
        <v>9.18751514E8</v>
      </c>
      <c r="H38" s="40">
        <v>2754.0</v>
      </c>
      <c r="I38" s="40">
        <v>880.0</v>
      </c>
      <c r="J38" s="40" t="s">
        <v>65</v>
      </c>
      <c r="K38" s="41" t="s">
        <v>399</v>
      </c>
      <c r="L38" s="42" t="s">
        <v>67</v>
      </c>
      <c r="M38" s="41" t="s">
        <v>328</v>
      </c>
      <c r="N38" s="43" t="s">
        <v>329</v>
      </c>
      <c r="O38" s="44">
        <v>9.97795341E8</v>
      </c>
      <c r="P38" s="45"/>
      <c r="Q38" s="45" t="s">
        <v>67</v>
      </c>
      <c r="R38" s="46">
        <v>1.0</v>
      </c>
      <c r="S38" s="45" t="s">
        <v>67</v>
      </c>
      <c r="T38" s="58"/>
      <c r="U38" s="45"/>
      <c r="V38" s="45"/>
      <c r="W38" s="68">
        <v>46132.0</v>
      </c>
      <c r="X38" s="49" t="s">
        <v>400</v>
      </c>
      <c r="Y38" s="49" t="s">
        <v>393</v>
      </c>
      <c r="Z38" s="40" t="s">
        <v>379</v>
      </c>
      <c r="AA38" s="45" t="s">
        <v>74</v>
      </c>
      <c r="AB38" s="45" t="s">
        <v>67</v>
      </c>
      <c r="AC38" s="45" t="s">
        <v>195</v>
      </c>
      <c r="AD38" s="51" t="s">
        <v>76</v>
      </c>
      <c r="AE38" s="54"/>
      <c r="AF38" s="45" t="s">
        <v>67</v>
      </c>
      <c r="AG38" s="45"/>
      <c r="AH38" s="45">
        <v>15.0</v>
      </c>
      <c r="AI38" s="45">
        <v>10.0</v>
      </c>
      <c r="AJ38" s="45"/>
      <c r="AK38" s="45"/>
      <c r="AL38" s="45"/>
      <c r="AM38" s="45"/>
      <c r="AN38" s="45">
        <v>0.0</v>
      </c>
      <c r="AO38" s="55"/>
      <c r="AP38" s="54"/>
      <c r="AQ38" s="54"/>
      <c r="AR38" s="54"/>
      <c r="AS38" s="54"/>
      <c r="AT38" s="54"/>
    </row>
    <row r="39">
      <c r="A39" s="35" t="s">
        <v>401</v>
      </c>
      <c r="B39" s="36" t="s">
        <v>319</v>
      </c>
      <c r="C39" s="36" t="s">
        <v>402</v>
      </c>
      <c r="D39" s="36" t="s">
        <v>403</v>
      </c>
      <c r="E39" s="62" t="s">
        <v>404</v>
      </c>
      <c r="F39" s="38" t="s">
        <v>405</v>
      </c>
      <c r="G39" s="61">
        <v>9.26088928E8</v>
      </c>
      <c r="H39" s="40"/>
      <c r="I39" s="40">
        <v>816.0</v>
      </c>
      <c r="J39" s="40" t="s">
        <v>65</v>
      </c>
      <c r="K39" s="42" t="s">
        <v>406</v>
      </c>
      <c r="L39" s="42" t="s">
        <v>67</v>
      </c>
      <c r="M39" s="53" t="s">
        <v>374</v>
      </c>
      <c r="N39" s="43" t="s">
        <v>375</v>
      </c>
      <c r="O39" s="44" t="s">
        <v>376</v>
      </c>
      <c r="P39" s="45" t="s">
        <v>67</v>
      </c>
      <c r="Q39" s="45" t="s">
        <v>67</v>
      </c>
      <c r="R39" s="46">
        <v>3.0</v>
      </c>
      <c r="S39" s="45" t="s">
        <v>67</v>
      </c>
      <c r="T39" s="64"/>
      <c r="U39" s="45"/>
      <c r="V39" s="45"/>
      <c r="W39" s="68">
        <v>46133.0</v>
      </c>
      <c r="X39" s="49" t="s">
        <v>407</v>
      </c>
      <c r="Y39" s="49" t="s">
        <v>378</v>
      </c>
      <c r="Z39" s="40" t="s">
        <v>379</v>
      </c>
      <c r="AA39" s="45" t="s">
        <v>74</v>
      </c>
      <c r="AB39" s="45" t="s">
        <v>67</v>
      </c>
      <c r="AC39" s="45" t="s">
        <v>135</v>
      </c>
      <c r="AD39" s="51" t="s">
        <v>76</v>
      </c>
      <c r="AE39" s="54"/>
      <c r="AF39" s="45" t="s">
        <v>67</v>
      </c>
      <c r="AG39" s="45"/>
      <c r="AH39" s="45">
        <v>15.0</v>
      </c>
      <c r="AI39" s="45">
        <v>10.0</v>
      </c>
      <c r="AJ39" s="45"/>
      <c r="AK39" s="45"/>
      <c r="AL39" s="45"/>
      <c r="AM39" s="45"/>
      <c r="AN39" s="45">
        <v>0.0</v>
      </c>
      <c r="AO39" s="55"/>
      <c r="AP39" s="54"/>
      <c r="AQ39" s="54"/>
      <c r="AR39" s="54"/>
      <c r="AS39" s="54"/>
      <c r="AT39" s="54"/>
    </row>
    <row r="40">
      <c r="A40" s="35" t="s">
        <v>408</v>
      </c>
      <c r="B40" s="36" t="s">
        <v>319</v>
      </c>
      <c r="C40" s="36" t="s">
        <v>320</v>
      </c>
      <c r="D40" s="70" t="s">
        <v>409</v>
      </c>
      <c r="E40" s="62" t="s">
        <v>410</v>
      </c>
      <c r="F40" s="38" t="s">
        <v>411</v>
      </c>
      <c r="G40" s="61">
        <v>9.07102384E8</v>
      </c>
      <c r="H40" s="40"/>
      <c r="I40" s="40"/>
      <c r="J40" s="40" t="s">
        <v>224</v>
      </c>
      <c r="K40" s="41" t="s">
        <v>412</v>
      </c>
      <c r="L40" s="42" t="s">
        <v>67</v>
      </c>
      <c r="M40" s="41" t="s">
        <v>328</v>
      </c>
      <c r="N40" s="43" t="s">
        <v>329</v>
      </c>
      <c r="O40" s="44">
        <v>9.97795341E8</v>
      </c>
      <c r="P40" s="45"/>
      <c r="Q40" s="45" t="s">
        <v>67</v>
      </c>
      <c r="R40" s="46">
        <v>1.0</v>
      </c>
      <c r="S40" s="45" t="s">
        <v>67</v>
      </c>
      <c r="T40" s="64"/>
      <c r="U40" s="45"/>
      <c r="V40" s="45"/>
      <c r="W40" s="68">
        <v>46132.0</v>
      </c>
      <c r="X40" s="49" t="s">
        <v>413</v>
      </c>
      <c r="Y40" s="49" t="s">
        <v>378</v>
      </c>
      <c r="Z40" s="40" t="s">
        <v>379</v>
      </c>
      <c r="AA40" s="45" t="s">
        <v>74</v>
      </c>
      <c r="AB40" s="45" t="s">
        <v>67</v>
      </c>
      <c r="AC40" s="45" t="s">
        <v>195</v>
      </c>
      <c r="AD40" s="51" t="s">
        <v>76</v>
      </c>
      <c r="AE40" s="54"/>
      <c r="AF40" s="45" t="s">
        <v>67</v>
      </c>
      <c r="AG40" s="45"/>
      <c r="AH40" s="45">
        <v>21.0</v>
      </c>
      <c r="AI40" s="45">
        <v>9.0</v>
      </c>
      <c r="AJ40" s="45"/>
      <c r="AK40" s="45"/>
      <c r="AL40" s="45"/>
      <c r="AM40" s="45"/>
      <c r="AN40" s="45">
        <v>0.0</v>
      </c>
      <c r="AO40" s="55"/>
      <c r="AP40" s="54"/>
      <c r="AQ40" s="54"/>
      <c r="AR40" s="54"/>
      <c r="AS40" s="54"/>
      <c r="AT40" s="54"/>
    </row>
    <row r="41">
      <c r="A41" s="35" t="s">
        <v>414</v>
      </c>
      <c r="B41" s="36" t="s">
        <v>319</v>
      </c>
      <c r="C41" s="36" t="s">
        <v>415</v>
      </c>
      <c r="D41" s="36" t="s">
        <v>416</v>
      </c>
      <c r="E41" s="62" t="s">
        <v>417</v>
      </c>
      <c r="F41" s="38" t="s">
        <v>418</v>
      </c>
      <c r="G41" s="61" t="s">
        <v>419</v>
      </c>
      <c r="H41" s="40"/>
      <c r="I41" s="40">
        <v>790.0</v>
      </c>
      <c r="J41" s="40" t="s">
        <v>65</v>
      </c>
      <c r="K41" s="41" t="s">
        <v>420</v>
      </c>
      <c r="L41" s="42" t="s">
        <v>67</v>
      </c>
      <c r="M41" s="41" t="s">
        <v>374</v>
      </c>
      <c r="N41" s="43" t="s">
        <v>375</v>
      </c>
      <c r="O41" s="44" t="s">
        <v>376</v>
      </c>
      <c r="P41" s="45"/>
      <c r="Q41" s="45" t="s">
        <v>67</v>
      </c>
      <c r="R41" s="46">
        <v>1.0</v>
      </c>
      <c r="S41" s="45" t="s">
        <v>67</v>
      </c>
      <c r="T41" s="58"/>
      <c r="U41" s="45"/>
      <c r="V41" s="45"/>
      <c r="W41" s="68">
        <v>46133.0</v>
      </c>
      <c r="X41" s="49" t="s">
        <v>421</v>
      </c>
      <c r="Y41" s="49" t="s">
        <v>378</v>
      </c>
      <c r="Z41" s="40" t="s">
        <v>379</v>
      </c>
      <c r="AA41" s="45" t="s">
        <v>74</v>
      </c>
      <c r="AB41" s="45" t="s">
        <v>67</v>
      </c>
      <c r="AC41" s="45" t="s">
        <v>195</v>
      </c>
      <c r="AD41" s="51" t="s">
        <v>76</v>
      </c>
      <c r="AE41" s="54"/>
      <c r="AF41" s="45" t="s">
        <v>67</v>
      </c>
      <c r="AG41" s="45"/>
      <c r="AH41" s="45">
        <v>20.0</v>
      </c>
      <c r="AI41" s="45">
        <v>17.0</v>
      </c>
      <c r="AJ41" s="45"/>
      <c r="AK41" s="45"/>
      <c r="AL41" s="45"/>
      <c r="AM41" s="45"/>
      <c r="AN41" s="45">
        <v>0.0</v>
      </c>
      <c r="AO41" s="55"/>
      <c r="AP41" s="54"/>
      <c r="AQ41" s="54"/>
      <c r="AR41" s="54"/>
      <c r="AS41" s="54"/>
      <c r="AT41" s="54"/>
    </row>
    <row r="42">
      <c r="A42" s="35" t="s">
        <v>422</v>
      </c>
      <c r="B42" s="36" t="s">
        <v>319</v>
      </c>
      <c r="C42" s="36" t="s">
        <v>369</v>
      </c>
      <c r="D42" s="36" t="s">
        <v>423</v>
      </c>
      <c r="E42" s="62" t="s">
        <v>424</v>
      </c>
      <c r="F42" s="38" t="s">
        <v>425</v>
      </c>
      <c r="G42" s="61">
        <v>9.96096937E8</v>
      </c>
      <c r="H42" s="40"/>
      <c r="I42" s="40">
        <v>806.0</v>
      </c>
      <c r="J42" s="40" t="s">
        <v>65</v>
      </c>
      <c r="K42" s="42" t="s">
        <v>426</v>
      </c>
      <c r="L42" s="42" t="s">
        <v>67</v>
      </c>
      <c r="M42" s="41" t="s">
        <v>339</v>
      </c>
      <c r="N42" s="43" t="s">
        <v>340</v>
      </c>
      <c r="O42" s="44" t="s">
        <v>341</v>
      </c>
      <c r="P42" s="45"/>
      <c r="Q42" s="45" t="s">
        <v>67</v>
      </c>
      <c r="R42" s="46">
        <v>1.0</v>
      </c>
      <c r="S42" s="45" t="s">
        <v>67</v>
      </c>
      <c r="T42" s="64"/>
      <c r="U42" s="45"/>
      <c r="V42" s="45"/>
      <c r="W42" s="68">
        <v>46132.0</v>
      </c>
      <c r="X42" s="49" t="s">
        <v>427</v>
      </c>
      <c r="Y42" s="49" t="s">
        <v>378</v>
      </c>
      <c r="Z42" s="40" t="s">
        <v>379</v>
      </c>
      <c r="AA42" s="45" t="s">
        <v>74</v>
      </c>
      <c r="AB42" s="45" t="s">
        <v>67</v>
      </c>
      <c r="AC42" s="45" t="s">
        <v>96</v>
      </c>
      <c r="AD42" s="51" t="s">
        <v>76</v>
      </c>
      <c r="AE42" s="54"/>
      <c r="AF42" s="45" t="s">
        <v>67</v>
      </c>
      <c r="AG42" s="45"/>
      <c r="AH42" s="45">
        <v>5.0</v>
      </c>
      <c r="AI42" s="45">
        <v>4.0</v>
      </c>
      <c r="AJ42" s="45"/>
      <c r="AK42" s="45"/>
      <c r="AL42" s="45"/>
      <c r="AM42" s="45"/>
      <c r="AN42" s="45">
        <v>0.0</v>
      </c>
      <c r="AO42" s="55"/>
      <c r="AP42" s="54"/>
      <c r="AQ42" s="54"/>
      <c r="AR42" s="54"/>
      <c r="AS42" s="54"/>
      <c r="AT42" s="54"/>
    </row>
    <row r="43">
      <c r="A43" s="35" t="s">
        <v>422</v>
      </c>
      <c r="B43" s="36" t="s">
        <v>319</v>
      </c>
      <c r="C43" s="36" t="s">
        <v>369</v>
      </c>
      <c r="D43" s="36" t="s">
        <v>423</v>
      </c>
      <c r="E43" s="62" t="s">
        <v>428</v>
      </c>
      <c r="F43" s="38" t="s">
        <v>429</v>
      </c>
      <c r="G43" s="61">
        <v>9.24123364E8</v>
      </c>
      <c r="H43" s="40"/>
      <c r="I43" s="40">
        <v>805.0</v>
      </c>
      <c r="J43" s="40" t="s">
        <v>65</v>
      </c>
      <c r="K43" s="41" t="s">
        <v>430</v>
      </c>
      <c r="L43" s="42" t="s">
        <v>74</v>
      </c>
      <c r="M43" s="41" t="s">
        <v>339</v>
      </c>
      <c r="N43" s="43" t="s">
        <v>340</v>
      </c>
      <c r="O43" s="44" t="s">
        <v>341</v>
      </c>
      <c r="P43" s="45"/>
      <c r="Q43" s="45" t="s">
        <v>67</v>
      </c>
      <c r="R43" s="46">
        <v>1.0</v>
      </c>
      <c r="S43" s="45" t="s">
        <v>67</v>
      </c>
      <c r="T43" s="64"/>
      <c r="U43" s="45"/>
      <c r="V43" s="45"/>
      <c r="W43" s="68">
        <v>46132.0</v>
      </c>
      <c r="X43" s="49" t="s">
        <v>427</v>
      </c>
      <c r="Y43" s="49" t="s">
        <v>378</v>
      </c>
      <c r="Z43" s="40" t="s">
        <v>379</v>
      </c>
      <c r="AA43" s="45" t="s">
        <v>74</v>
      </c>
      <c r="AB43" s="45" t="s">
        <v>67</v>
      </c>
      <c r="AC43" s="45" t="s">
        <v>96</v>
      </c>
      <c r="AD43" s="51" t="s">
        <v>76</v>
      </c>
      <c r="AE43" s="54"/>
      <c r="AF43" s="45" t="s">
        <v>67</v>
      </c>
      <c r="AG43" s="45"/>
      <c r="AH43" s="45">
        <v>5.0</v>
      </c>
      <c r="AI43" s="45">
        <v>4.0</v>
      </c>
      <c r="AJ43" s="45"/>
      <c r="AK43" s="45"/>
      <c r="AL43" s="45"/>
      <c r="AM43" s="45"/>
      <c r="AN43" s="45">
        <v>0.0</v>
      </c>
      <c r="AO43" s="55"/>
      <c r="AP43" s="54"/>
      <c r="AQ43" s="54"/>
      <c r="AR43" s="54"/>
      <c r="AS43" s="54"/>
      <c r="AT43" s="54"/>
    </row>
    <row r="44">
      <c r="A44" s="35" t="s">
        <v>431</v>
      </c>
      <c r="B44" s="36" t="s">
        <v>319</v>
      </c>
      <c r="C44" s="36" t="s">
        <v>332</v>
      </c>
      <c r="D44" s="36" t="s">
        <v>432</v>
      </c>
      <c r="E44" s="62" t="s">
        <v>433</v>
      </c>
      <c r="F44" s="38" t="s">
        <v>434</v>
      </c>
      <c r="G44" s="61">
        <v>9.67783359E8</v>
      </c>
      <c r="H44" s="40"/>
      <c r="I44" s="40">
        <v>798.0</v>
      </c>
      <c r="J44" s="40" t="s">
        <v>65</v>
      </c>
      <c r="K44" s="42" t="s">
        <v>435</v>
      </c>
      <c r="L44" s="42" t="s">
        <v>67</v>
      </c>
      <c r="M44" s="41" t="s">
        <v>339</v>
      </c>
      <c r="N44" s="43" t="s">
        <v>340</v>
      </c>
      <c r="O44" s="44" t="s">
        <v>341</v>
      </c>
      <c r="P44" s="45"/>
      <c r="Q44" s="45" t="s">
        <v>67</v>
      </c>
      <c r="R44" s="46">
        <v>1.0</v>
      </c>
      <c r="S44" s="45" t="s">
        <v>67</v>
      </c>
      <c r="T44" s="64"/>
      <c r="U44" s="45"/>
      <c r="V44" s="45"/>
      <c r="W44" s="68">
        <v>46133.0</v>
      </c>
      <c r="X44" s="49" t="s">
        <v>436</v>
      </c>
      <c r="Y44" s="49" t="s">
        <v>393</v>
      </c>
      <c r="Z44" s="40" t="s">
        <v>379</v>
      </c>
      <c r="AA44" s="45" t="s">
        <v>67</v>
      </c>
      <c r="AB44" s="45" t="s">
        <v>67</v>
      </c>
      <c r="AC44" s="45" t="s">
        <v>86</v>
      </c>
      <c r="AD44" s="51" t="s">
        <v>76</v>
      </c>
      <c r="AE44" s="54"/>
      <c r="AF44" s="45" t="s">
        <v>67</v>
      </c>
      <c r="AG44" s="45"/>
      <c r="AH44" s="71">
        <v>18.0</v>
      </c>
      <c r="AI44" s="71">
        <v>5.0</v>
      </c>
      <c r="AJ44" s="71"/>
      <c r="AK44" s="71"/>
      <c r="AL44" s="71"/>
      <c r="AM44" s="71"/>
      <c r="AN44" s="45">
        <v>0.0</v>
      </c>
      <c r="AO44" s="55"/>
      <c r="AP44" s="54"/>
      <c r="AQ44" s="54"/>
      <c r="AR44" s="54"/>
      <c r="AS44" s="54"/>
      <c r="AT44" s="54"/>
    </row>
    <row r="45">
      <c r="A45" s="35" t="s">
        <v>437</v>
      </c>
      <c r="B45" s="36" t="s">
        <v>319</v>
      </c>
      <c r="C45" s="36" t="s">
        <v>438</v>
      </c>
      <c r="D45" s="61" t="s">
        <v>439</v>
      </c>
      <c r="E45" s="62" t="s">
        <v>440</v>
      </c>
      <c r="F45" s="38" t="s">
        <v>441</v>
      </c>
      <c r="G45" s="61">
        <v>9.18980005E8</v>
      </c>
      <c r="H45" s="40"/>
      <c r="I45" s="40">
        <v>802.0</v>
      </c>
      <c r="J45" s="40" t="s">
        <v>65</v>
      </c>
      <c r="K45" s="41" t="s">
        <v>442</v>
      </c>
      <c r="L45" s="42" t="s">
        <v>67</v>
      </c>
      <c r="M45" s="41" t="s">
        <v>374</v>
      </c>
      <c r="N45" s="43" t="s">
        <v>375</v>
      </c>
      <c r="O45" s="44" t="s">
        <v>376</v>
      </c>
      <c r="P45" s="45"/>
      <c r="Q45" s="45" t="s">
        <v>67</v>
      </c>
      <c r="R45" s="46">
        <v>2.0</v>
      </c>
      <c r="S45" s="45" t="s">
        <v>67</v>
      </c>
      <c r="T45" s="64"/>
      <c r="U45" s="45"/>
      <c r="V45" s="45"/>
      <c r="W45" s="68">
        <v>46133.0</v>
      </c>
      <c r="X45" s="49" t="s">
        <v>443</v>
      </c>
      <c r="Y45" s="49" t="s">
        <v>378</v>
      </c>
      <c r="Z45" s="40" t="s">
        <v>379</v>
      </c>
      <c r="AA45" s="45" t="s">
        <v>74</v>
      </c>
      <c r="AB45" s="45" t="s">
        <v>67</v>
      </c>
      <c r="AC45" s="45" t="s">
        <v>135</v>
      </c>
      <c r="AD45" s="51" t="s">
        <v>76</v>
      </c>
      <c r="AE45" s="54"/>
      <c r="AF45" s="45" t="s">
        <v>67</v>
      </c>
      <c r="AG45" s="45"/>
      <c r="AH45" s="71">
        <v>20.0</v>
      </c>
      <c r="AI45" s="71">
        <v>20.0</v>
      </c>
      <c r="AJ45" s="71"/>
      <c r="AK45" s="71"/>
      <c r="AL45" s="71"/>
      <c r="AM45" s="71"/>
      <c r="AN45" s="45">
        <v>0.0</v>
      </c>
      <c r="AO45" s="55"/>
      <c r="AP45" s="54"/>
      <c r="AQ45" s="54"/>
      <c r="AR45" s="54"/>
      <c r="AS45" s="54"/>
      <c r="AT45" s="54"/>
    </row>
    <row r="46">
      <c r="A46" s="35" t="s">
        <v>437</v>
      </c>
      <c r="B46" s="36" t="s">
        <v>319</v>
      </c>
      <c r="C46" s="36" t="s">
        <v>438</v>
      </c>
      <c r="D46" s="61" t="s">
        <v>439</v>
      </c>
      <c r="E46" s="62" t="s">
        <v>444</v>
      </c>
      <c r="F46" s="38" t="s">
        <v>445</v>
      </c>
      <c r="G46" s="72"/>
      <c r="H46" s="50"/>
      <c r="I46" s="50"/>
      <c r="J46" s="40" t="s">
        <v>224</v>
      </c>
      <c r="K46" s="41" t="s">
        <v>446</v>
      </c>
      <c r="L46" s="42" t="s">
        <v>67</v>
      </c>
      <c r="M46" s="41" t="s">
        <v>374</v>
      </c>
      <c r="N46" s="43" t="s">
        <v>375</v>
      </c>
      <c r="O46" s="44" t="s">
        <v>376</v>
      </c>
      <c r="P46" s="45"/>
      <c r="Q46" s="45" t="s">
        <v>67</v>
      </c>
      <c r="R46" s="46">
        <v>2.0</v>
      </c>
      <c r="S46" s="45" t="s">
        <v>67</v>
      </c>
      <c r="T46" s="64"/>
      <c r="U46" s="45"/>
      <c r="V46" s="45"/>
      <c r="W46" s="68">
        <v>46133.0</v>
      </c>
      <c r="X46" s="49" t="s">
        <v>447</v>
      </c>
      <c r="Y46" s="49" t="s">
        <v>378</v>
      </c>
      <c r="Z46" s="40" t="s">
        <v>379</v>
      </c>
      <c r="AA46" s="45" t="s">
        <v>74</v>
      </c>
      <c r="AB46" s="45" t="s">
        <v>67</v>
      </c>
      <c r="AC46" s="45" t="s">
        <v>135</v>
      </c>
      <c r="AD46" s="51" t="s">
        <v>76</v>
      </c>
      <c r="AE46" s="54"/>
      <c r="AF46" s="45" t="s">
        <v>67</v>
      </c>
      <c r="AG46" s="45"/>
      <c r="AH46" s="71">
        <v>20.0</v>
      </c>
      <c r="AI46" s="71">
        <v>20.0</v>
      </c>
      <c r="AJ46" s="71"/>
      <c r="AK46" s="71"/>
      <c r="AL46" s="71"/>
      <c r="AM46" s="71"/>
      <c r="AN46" s="45">
        <v>0.0</v>
      </c>
      <c r="AO46" s="55"/>
      <c r="AP46" s="54"/>
      <c r="AQ46" s="54"/>
      <c r="AR46" s="54"/>
      <c r="AS46" s="54"/>
      <c r="AT46" s="54"/>
    </row>
    <row r="47">
      <c r="A47" s="35" t="s">
        <v>437</v>
      </c>
      <c r="B47" s="36" t="s">
        <v>319</v>
      </c>
      <c r="C47" s="36" t="s">
        <v>438</v>
      </c>
      <c r="D47" s="61" t="s">
        <v>439</v>
      </c>
      <c r="E47" s="62" t="s">
        <v>448</v>
      </c>
      <c r="F47" s="38" t="s">
        <v>449</v>
      </c>
      <c r="G47" s="61">
        <v>9.21863991E8</v>
      </c>
      <c r="H47" s="40"/>
      <c r="I47" s="40">
        <v>801.0</v>
      </c>
      <c r="J47" s="40" t="s">
        <v>65</v>
      </c>
      <c r="K47" s="73" t="s">
        <v>450</v>
      </c>
      <c r="L47" s="42" t="s">
        <v>67</v>
      </c>
      <c r="M47" s="41" t="s">
        <v>374</v>
      </c>
      <c r="N47" s="43" t="s">
        <v>375</v>
      </c>
      <c r="O47" s="44" t="s">
        <v>376</v>
      </c>
      <c r="P47" s="45"/>
      <c r="Q47" s="45" t="s">
        <v>67</v>
      </c>
      <c r="R47" s="46">
        <v>2.0</v>
      </c>
      <c r="S47" s="45" t="s">
        <v>67</v>
      </c>
      <c r="T47" s="64"/>
      <c r="U47" s="45"/>
      <c r="V47" s="45"/>
      <c r="W47" s="68">
        <v>46133.0</v>
      </c>
      <c r="X47" s="49" t="s">
        <v>447</v>
      </c>
      <c r="Y47" s="49" t="s">
        <v>378</v>
      </c>
      <c r="Z47" s="40" t="s">
        <v>379</v>
      </c>
      <c r="AA47" s="45" t="s">
        <v>74</v>
      </c>
      <c r="AB47" s="45" t="s">
        <v>67</v>
      </c>
      <c r="AC47" s="45" t="s">
        <v>135</v>
      </c>
      <c r="AD47" s="51" t="s">
        <v>76</v>
      </c>
      <c r="AE47" s="54"/>
      <c r="AF47" s="45" t="s">
        <v>67</v>
      </c>
      <c r="AG47" s="45"/>
      <c r="AH47" s="71">
        <v>20.0</v>
      </c>
      <c r="AI47" s="71">
        <v>20.0</v>
      </c>
      <c r="AJ47" s="71"/>
      <c r="AK47" s="71"/>
      <c r="AL47" s="71"/>
      <c r="AM47" s="71"/>
      <c r="AN47" s="45">
        <v>0.0</v>
      </c>
      <c r="AO47" s="55"/>
      <c r="AP47" s="54"/>
      <c r="AQ47" s="54"/>
      <c r="AR47" s="54"/>
      <c r="AS47" s="54"/>
      <c r="AT47" s="54"/>
    </row>
    <row r="48">
      <c r="A48" s="35" t="s">
        <v>451</v>
      </c>
      <c r="B48" s="36" t="s">
        <v>319</v>
      </c>
      <c r="C48" s="36" t="s">
        <v>402</v>
      </c>
      <c r="D48" s="36" t="s">
        <v>452</v>
      </c>
      <c r="E48" s="62" t="s">
        <v>453</v>
      </c>
      <c r="F48" s="38" t="s">
        <v>454</v>
      </c>
      <c r="G48" s="61" t="s">
        <v>455</v>
      </c>
      <c r="H48" s="40"/>
      <c r="I48" s="40">
        <v>792.0</v>
      </c>
      <c r="J48" s="40" t="s">
        <v>65</v>
      </c>
      <c r="K48" s="42" t="s">
        <v>456</v>
      </c>
      <c r="L48" s="42" t="s">
        <v>67</v>
      </c>
      <c r="M48" s="41" t="s">
        <v>374</v>
      </c>
      <c r="N48" s="43" t="s">
        <v>375</v>
      </c>
      <c r="O48" s="44" t="s">
        <v>376</v>
      </c>
      <c r="P48" s="45"/>
      <c r="Q48" s="45" t="s">
        <v>67</v>
      </c>
      <c r="R48" s="46">
        <v>1.0</v>
      </c>
      <c r="S48" s="45" t="s">
        <v>67</v>
      </c>
      <c r="T48" s="64"/>
      <c r="U48" s="45"/>
      <c r="V48" s="45"/>
      <c r="W48" s="68">
        <v>46133.0</v>
      </c>
      <c r="X48" s="49" t="s">
        <v>457</v>
      </c>
      <c r="Y48" s="49" t="s">
        <v>378</v>
      </c>
      <c r="Z48" s="40" t="s">
        <v>379</v>
      </c>
      <c r="AA48" s="45" t="s">
        <v>74</v>
      </c>
      <c r="AB48" s="45" t="s">
        <v>67</v>
      </c>
      <c r="AC48" s="45" t="s">
        <v>458</v>
      </c>
      <c r="AD48" s="51" t="s">
        <v>76</v>
      </c>
      <c r="AE48" s="54"/>
      <c r="AF48" s="45" t="s">
        <v>67</v>
      </c>
      <c r="AG48" s="45"/>
      <c r="AH48" s="45">
        <v>30.0</v>
      </c>
      <c r="AI48" s="45">
        <v>18.0</v>
      </c>
      <c r="AJ48" s="45"/>
      <c r="AK48" s="45"/>
      <c r="AL48" s="45"/>
      <c r="AM48" s="45"/>
      <c r="AN48" s="45">
        <v>0.0</v>
      </c>
      <c r="AO48" s="55"/>
      <c r="AP48" s="54"/>
      <c r="AQ48" s="54"/>
      <c r="AR48" s="54"/>
      <c r="AS48" s="54"/>
      <c r="AT48" s="54"/>
    </row>
    <row r="49">
      <c r="A49" s="35" t="s">
        <v>451</v>
      </c>
      <c r="B49" s="36" t="s">
        <v>319</v>
      </c>
      <c r="C49" s="36" t="s">
        <v>402</v>
      </c>
      <c r="D49" s="36" t="s">
        <v>452</v>
      </c>
      <c r="E49" s="62" t="s">
        <v>459</v>
      </c>
      <c r="F49" s="38" t="s">
        <v>460</v>
      </c>
      <c r="G49" s="61">
        <v>9.47188441E8</v>
      </c>
      <c r="H49" s="40"/>
      <c r="I49" s="40">
        <v>793.0</v>
      </c>
      <c r="J49" s="40" t="s">
        <v>65</v>
      </c>
      <c r="K49" s="41" t="s">
        <v>461</v>
      </c>
      <c r="L49" s="42" t="s">
        <v>67</v>
      </c>
      <c r="M49" s="41" t="s">
        <v>374</v>
      </c>
      <c r="N49" s="43" t="s">
        <v>375</v>
      </c>
      <c r="O49" s="44" t="s">
        <v>376</v>
      </c>
      <c r="P49" s="45"/>
      <c r="Q49" s="45" t="s">
        <v>67</v>
      </c>
      <c r="R49" s="46">
        <v>1.0</v>
      </c>
      <c r="S49" s="45" t="s">
        <v>67</v>
      </c>
      <c r="T49" s="64"/>
      <c r="U49" s="45"/>
      <c r="V49" s="45"/>
      <c r="W49" s="68">
        <v>46133.0</v>
      </c>
      <c r="X49" s="49" t="s">
        <v>457</v>
      </c>
      <c r="Y49" s="49" t="s">
        <v>378</v>
      </c>
      <c r="Z49" s="40" t="s">
        <v>379</v>
      </c>
      <c r="AA49" s="45" t="s">
        <v>74</v>
      </c>
      <c r="AB49" s="45" t="s">
        <v>67</v>
      </c>
      <c r="AC49" s="45" t="s">
        <v>458</v>
      </c>
      <c r="AD49" s="51" t="s">
        <v>76</v>
      </c>
      <c r="AE49" s="54"/>
      <c r="AF49" s="45" t="s">
        <v>67</v>
      </c>
      <c r="AG49" s="45"/>
      <c r="AH49" s="45">
        <v>30.0</v>
      </c>
      <c r="AI49" s="45">
        <v>18.0</v>
      </c>
      <c r="AJ49" s="45"/>
      <c r="AK49" s="45"/>
      <c r="AL49" s="45"/>
      <c r="AM49" s="45"/>
      <c r="AN49" s="45">
        <v>0.0</v>
      </c>
      <c r="AO49" s="55"/>
      <c r="AP49" s="54"/>
      <c r="AQ49" s="54"/>
      <c r="AR49" s="54"/>
      <c r="AS49" s="54"/>
      <c r="AT49" s="54"/>
    </row>
    <row r="50">
      <c r="A50" s="35" t="s">
        <v>462</v>
      </c>
      <c r="B50" s="36" t="s">
        <v>319</v>
      </c>
      <c r="C50" s="36" t="s">
        <v>463</v>
      </c>
      <c r="D50" s="36" t="s">
        <v>464</v>
      </c>
      <c r="E50" s="62" t="s">
        <v>465</v>
      </c>
      <c r="F50" s="38" t="s">
        <v>466</v>
      </c>
      <c r="G50" s="61">
        <v>9.00891314E8</v>
      </c>
      <c r="H50" s="40"/>
      <c r="I50" s="40">
        <v>789.0</v>
      </c>
      <c r="J50" s="40" t="s">
        <v>65</v>
      </c>
      <c r="K50" s="41" t="s">
        <v>467</v>
      </c>
      <c r="L50" s="42" t="s">
        <v>67</v>
      </c>
      <c r="M50" s="41" t="s">
        <v>374</v>
      </c>
      <c r="N50" s="43" t="s">
        <v>375</v>
      </c>
      <c r="O50" s="44" t="s">
        <v>376</v>
      </c>
      <c r="P50" s="45"/>
      <c r="Q50" s="45" t="s">
        <v>67</v>
      </c>
      <c r="R50" s="46">
        <v>1.0</v>
      </c>
      <c r="S50" s="45" t="s">
        <v>67</v>
      </c>
      <c r="T50" s="58"/>
      <c r="U50" s="45"/>
      <c r="V50" s="45"/>
      <c r="W50" s="68">
        <v>46133.0</v>
      </c>
      <c r="X50" s="49" t="s">
        <v>468</v>
      </c>
      <c r="Y50" s="49" t="s">
        <v>393</v>
      </c>
      <c r="Z50" s="40" t="s">
        <v>379</v>
      </c>
      <c r="AA50" s="45" t="s">
        <v>74</v>
      </c>
      <c r="AB50" s="45" t="s">
        <v>67</v>
      </c>
      <c r="AC50" s="45" t="s">
        <v>458</v>
      </c>
      <c r="AD50" s="51" t="s">
        <v>76</v>
      </c>
      <c r="AE50" s="54"/>
      <c r="AF50" s="45" t="s">
        <v>67</v>
      </c>
      <c r="AG50" s="45"/>
      <c r="AH50" s="45">
        <v>25.0</v>
      </c>
      <c r="AI50" s="45">
        <v>35.0</v>
      </c>
      <c r="AJ50" s="45"/>
      <c r="AK50" s="45"/>
      <c r="AL50" s="45"/>
      <c r="AM50" s="45"/>
      <c r="AN50" s="45">
        <v>0.0</v>
      </c>
      <c r="AO50" s="55"/>
      <c r="AP50" s="54"/>
      <c r="AQ50" s="54"/>
      <c r="AR50" s="54"/>
      <c r="AS50" s="54"/>
      <c r="AT50" s="54"/>
    </row>
    <row r="51">
      <c r="A51" s="35" t="s">
        <v>469</v>
      </c>
      <c r="B51" s="36" t="s">
        <v>319</v>
      </c>
      <c r="C51" s="36" t="s">
        <v>402</v>
      </c>
      <c r="D51" s="36" t="s">
        <v>470</v>
      </c>
      <c r="E51" s="62" t="s">
        <v>471</v>
      </c>
      <c r="F51" s="38" t="s">
        <v>472</v>
      </c>
      <c r="G51" s="61">
        <v>9.87632819E8</v>
      </c>
      <c r="H51" s="40"/>
      <c r="I51" s="40">
        <v>794.0</v>
      </c>
      <c r="J51" s="40" t="s">
        <v>65</v>
      </c>
      <c r="K51" s="42" t="s">
        <v>473</v>
      </c>
      <c r="L51" s="42" t="s">
        <v>67</v>
      </c>
      <c r="M51" s="41" t="s">
        <v>374</v>
      </c>
      <c r="N51" s="43" t="s">
        <v>375</v>
      </c>
      <c r="O51" s="44" t="s">
        <v>376</v>
      </c>
      <c r="P51" s="45"/>
      <c r="Q51" s="45" t="s">
        <v>67</v>
      </c>
      <c r="R51" s="46">
        <v>1.0</v>
      </c>
      <c r="S51" s="45" t="s">
        <v>67</v>
      </c>
      <c r="T51" s="58"/>
      <c r="U51" s="45"/>
      <c r="V51" s="45"/>
      <c r="W51" s="68">
        <v>46132.0</v>
      </c>
      <c r="X51" s="49" t="s">
        <v>474</v>
      </c>
      <c r="Y51" s="49" t="s">
        <v>378</v>
      </c>
      <c r="Z51" s="40" t="s">
        <v>379</v>
      </c>
      <c r="AA51" s="45" t="s">
        <v>74</v>
      </c>
      <c r="AB51" s="45" t="s">
        <v>67</v>
      </c>
      <c r="AC51" s="45" t="s">
        <v>475</v>
      </c>
      <c r="AD51" s="51" t="s">
        <v>76</v>
      </c>
      <c r="AE51" s="54"/>
      <c r="AF51" s="45" t="s">
        <v>67</v>
      </c>
      <c r="AG51" s="45"/>
      <c r="AH51" s="45">
        <v>48.0</v>
      </c>
      <c r="AI51" s="69"/>
      <c r="AJ51" s="45"/>
      <c r="AK51" s="45"/>
      <c r="AL51" s="45"/>
      <c r="AM51" s="45"/>
      <c r="AN51" s="45">
        <v>0.0</v>
      </c>
      <c r="AO51" s="55"/>
      <c r="AP51" s="54"/>
      <c r="AQ51" s="54"/>
      <c r="AR51" s="54"/>
      <c r="AS51" s="54"/>
      <c r="AT51" s="54"/>
    </row>
    <row r="52">
      <c r="A52" s="35" t="s">
        <v>476</v>
      </c>
      <c r="B52" s="36" t="s">
        <v>319</v>
      </c>
      <c r="C52" s="36" t="s">
        <v>402</v>
      </c>
      <c r="D52" s="36" t="s">
        <v>477</v>
      </c>
      <c r="E52" s="74" t="s">
        <v>478</v>
      </c>
      <c r="F52" s="61" t="s">
        <v>479</v>
      </c>
      <c r="G52" s="61">
        <v>9.80392113E8</v>
      </c>
      <c r="H52" s="40"/>
      <c r="I52" s="40"/>
      <c r="J52" s="40" t="s">
        <v>65</v>
      </c>
      <c r="K52" s="41" t="s">
        <v>480</v>
      </c>
      <c r="L52" s="42" t="s">
        <v>67</v>
      </c>
      <c r="M52" s="53" t="s">
        <v>374</v>
      </c>
      <c r="N52" s="43" t="s">
        <v>375</v>
      </c>
      <c r="O52" s="44" t="s">
        <v>376</v>
      </c>
      <c r="P52" s="45" t="s">
        <v>67</v>
      </c>
      <c r="Q52" s="45" t="s">
        <v>67</v>
      </c>
      <c r="R52" s="46">
        <v>3.0</v>
      </c>
      <c r="S52" s="45" t="s">
        <v>67</v>
      </c>
      <c r="T52" s="64"/>
      <c r="U52" s="45"/>
      <c r="V52" s="45"/>
      <c r="W52" s="68">
        <v>46132.0</v>
      </c>
      <c r="X52" s="49" t="s">
        <v>481</v>
      </c>
      <c r="Y52" s="49" t="s">
        <v>378</v>
      </c>
      <c r="Z52" s="40" t="s">
        <v>379</v>
      </c>
      <c r="AA52" s="45" t="s">
        <v>74</v>
      </c>
      <c r="AB52" s="45" t="s">
        <v>67</v>
      </c>
      <c r="AC52" s="45" t="s">
        <v>195</v>
      </c>
      <c r="AD52" s="51" t="s">
        <v>76</v>
      </c>
      <c r="AE52" s="54"/>
      <c r="AF52" s="45" t="s">
        <v>67</v>
      </c>
      <c r="AG52" s="45"/>
      <c r="AH52" s="45">
        <v>11.0</v>
      </c>
      <c r="AI52" s="45">
        <v>10.0</v>
      </c>
      <c r="AJ52" s="45"/>
      <c r="AK52" s="45"/>
      <c r="AL52" s="45"/>
      <c r="AM52" s="45"/>
      <c r="AN52" s="45">
        <v>0.0</v>
      </c>
      <c r="AO52" s="55"/>
      <c r="AP52" s="54"/>
      <c r="AQ52" s="54"/>
      <c r="AR52" s="54"/>
      <c r="AS52" s="54"/>
      <c r="AT52" s="54"/>
    </row>
    <row r="53">
      <c r="A53" s="35" t="s">
        <v>482</v>
      </c>
      <c r="B53" s="36" t="s">
        <v>319</v>
      </c>
      <c r="C53" s="36" t="s">
        <v>483</v>
      </c>
      <c r="D53" s="36" t="s">
        <v>484</v>
      </c>
      <c r="E53" s="62" t="s">
        <v>485</v>
      </c>
      <c r="F53" s="38" t="s">
        <v>486</v>
      </c>
      <c r="G53" s="61">
        <v>9.50691545E8</v>
      </c>
      <c r="H53" s="40"/>
      <c r="I53" s="40">
        <v>803.0</v>
      </c>
      <c r="J53" s="40" t="s">
        <v>65</v>
      </c>
      <c r="K53" s="42" t="s">
        <v>487</v>
      </c>
      <c r="L53" s="42" t="s">
        <v>67</v>
      </c>
      <c r="M53" s="41" t="s">
        <v>339</v>
      </c>
      <c r="N53" s="43" t="s">
        <v>340</v>
      </c>
      <c r="O53" s="44" t="s">
        <v>341</v>
      </c>
      <c r="P53" s="45"/>
      <c r="Q53" s="45" t="s">
        <v>67</v>
      </c>
      <c r="R53" s="46">
        <v>1.0</v>
      </c>
      <c r="S53" s="45" t="s">
        <v>67</v>
      </c>
      <c r="T53" s="58"/>
      <c r="U53" s="45"/>
      <c r="V53" s="45"/>
      <c r="W53" s="68">
        <v>46133.0</v>
      </c>
      <c r="X53" s="49" t="s">
        <v>488</v>
      </c>
      <c r="Y53" s="49" t="s">
        <v>378</v>
      </c>
      <c r="Z53" s="40" t="s">
        <v>379</v>
      </c>
      <c r="AA53" s="45" t="s">
        <v>74</v>
      </c>
      <c r="AB53" s="45" t="s">
        <v>67</v>
      </c>
      <c r="AC53" s="45" t="s">
        <v>475</v>
      </c>
      <c r="AD53" s="51" t="s">
        <v>76</v>
      </c>
      <c r="AE53" s="54"/>
      <c r="AF53" s="45" t="s">
        <v>67</v>
      </c>
      <c r="AG53" s="45"/>
      <c r="AH53" s="45">
        <v>15.0</v>
      </c>
      <c r="AI53" s="45">
        <v>10.0</v>
      </c>
      <c r="AJ53" s="45"/>
      <c r="AK53" s="45"/>
      <c r="AL53" s="45"/>
      <c r="AM53" s="45"/>
      <c r="AN53" s="45">
        <v>0.0</v>
      </c>
      <c r="AO53" s="55"/>
      <c r="AP53" s="54"/>
      <c r="AQ53" s="54"/>
      <c r="AR53" s="54"/>
      <c r="AS53" s="54"/>
      <c r="AT53" s="54"/>
    </row>
    <row r="54">
      <c r="A54" s="35" t="s">
        <v>489</v>
      </c>
      <c r="B54" s="36" t="s">
        <v>319</v>
      </c>
      <c r="C54" s="36" t="s">
        <v>386</v>
      </c>
      <c r="D54" s="36" t="s">
        <v>490</v>
      </c>
      <c r="E54" s="62" t="s">
        <v>491</v>
      </c>
      <c r="F54" s="38" t="s">
        <v>492</v>
      </c>
      <c r="G54" s="61">
        <v>9.49252681E8</v>
      </c>
      <c r="H54" s="40"/>
      <c r="I54" s="40">
        <v>800.0</v>
      </c>
      <c r="J54" s="40" t="s">
        <v>65</v>
      </c>
      <c r="K54" s="41" t="s">
        <v>493</v>
      </c>
      <c r="L54" s="42" t="s">
        <v>67</v>
      </c>
      <c r="M54" s="41" t="s">
        <v>339</v>
      </c>
      <c r="N54" s="43" t="s">
        <v>340</v>
      </c>
      <c r="O54" s="44" t="s">
        <v>341</v>
      </c>
      <c r="P54" s="45"/>
      <c r="Q54" s="45" t="s">
        <v>67</v>
      </c>
      <c r="R54" s="46">
        <v>1.0</v>
      </c>
      <c r="S54" s="45" t="s">
        <v>67</v>
      </c>
      <c r="T54" s="64"/>
      <c r="U54" s="45"/>
      <c r="V54" s="45"/>
      <c r="W54" s="68">
        <v>46134.0</v>
      </c>
      <c r="X54" s="75" t="s">
        <v>494</v>
      </c>
      <c r="Y54" s="49" t="s">
        <v>393</v>
      </c>
      <c r="Z54" s="40" t="s">
        <v>379</v>
      </c>
      <c r="AA54" s="45" t="s">
        <v>74</v>
      </c>
      <c r="AB54" s="45" t="s">
        <v>67</v>
      </c>
      <c r="AC54" s="45" t="s">
        <v>475</v>
      </c>
      <c r="AD54" s="51" t="s">
        <v>495</v>
      </c>
      <c r="AE54" s="54"/>
      <c r="AF54" s="45" t="s">
        <v>67</v>
      </c>
      <c r="AG54" s="45"/>
      <c r="AH54" s="45">
        <v>12.0</v>
      </c>
      <c r="AI54" s="45">
        <v>17.0</v>
      </c>
      <c r="AJ54" s="45"/>
      <c r="AK54" s="45"/>
      <c r="AL54" s="45"/>
      <c r="AM54" s="45"/>
      <c r="AN54" s="45">
        <v>0.0</v>
      </c>
      <c r="AO54" s="55"/>
      <c r="AP54" s="54"/>
      <c r="AQ54" s="54"/>
      <c r="AR54" s="54"/>
      <c r="AS54" s="54"/>
      <c r="AT54" s="54"/>
    </row>
    <row r="55">
      <c r="A55" s="35" t="s">
        <v>496</v>
      </c>
      <c r="B55" s="36" t="s">
        <v>319</v>
      </c>
      <c r="C55" s="36" t="s">
        <v>402</v>
      </c>
      <c r="D55" s="36" t="s">
        <v>497</v>
      </c>
      <c r="E55" s="62" t="s">
        <v>498</v>
      </c>
      <c r="F55" s="38" t="s">
        <v>499</v>
      </c>
      <c r="G55" s="61">
        <v>9.02693191E8</v>
      </c>
      <c r="H55" s="40"/>
      <c r="I55" s="40">
        <v>797.0</v>
      </c>
      <c r="J55" s="40" t="s">
        <v>65</v>
      </c>
      <c r="K55" s="41" t="s">
        <v>500</v>
      </c>
      <c r="L55" s="42" t="s">
        <v>67</v>
      </c>
      <c r="M55" s="53" t="s">
        <v>374</v>
      </c>
      <c r="N55" s="43" t="s">
        <v>375</v>
      </c>
      <c r="O55" s="44" t="s">
        <v>376</v>
      </c>
      <c r="P55" s="45" t="s">
        <v>67</v>
      </c>
      <c r="Q55" s="45" t="s">
        <v>67</v>
      </c>
      <c r="R55" s="46">
        <v>3.0</v>
      </c>
      <c r="S55" s="45" t="s">
        <v>67</v>
      </c>
      <c r="T55" s="64"/>
      <c r="U55" s="45"/>
      <c r="V55" s="45"/>
      <c r="W55" s="68">
        <v>46133.0</v>
      </c>
      <c r="X55" s="49" t="s">
        <v>501</v>
      </c>
      <c r="Y55" s="49" t="s">
        <v>393</v>
      </c>
      <c r="Z55" s="40" t="s">
        <v>379</v>
      </c>
      <c r="AA55" s="45" t="s">
        <v>74</v>
      </c>
      <c r="AB55" s="45" t="s">
        <v>67</v>
      </c>
      <c r="AC55" s="45" t="s">
        <v>125</v>
      </c>
      <c r="AD55" s="51" t="s">
        <v>76</v>
      </c>
      <c r="AE55" s="54"/>
      <c r="AF55" s="45" t="s">
        <v>67</v>
      </c>
      <c r="AG55" s="45"/>
      <c r="AH55" s="45">
        <v>15.0</v>
      </c>
      <c r="AI55" s="45">
        <v>12.0</v>
      </c>
      <c r="AJ55" s="45"/>
      <c r="AK55" s="45"/>
      <c r="AL55" s="45"/>
      <c r="AM55" s="45"/>
      <c r="AN55" s="45">
        <v>0.0</v>
      </c>
      <c r="AO55" s="55"/>
      <c r="AP55" s="67" t="s">
        <v>502</v>
      </c>
      <c r="AQ55" s="54"/>
      <c r="AR55" s="54"/>
      <c r="AS55" s="54"/>
      <c r="AT55" s="54"/>
    </row>
    <row r="56">
      <c r="A56" s="35" t="s">
        <v>496</v>
      </c>
      <c r="B56" s="36" t="s">
        <v>319</v>
      </c>
      <c r="C56" s="36" t="s">
        <v>402</v>
      </c>
      <c r="D56" s="36" t="s">
        <v>497</v>
      </c>
      <c r="E56" s="76" t="s">
        <v>503</v>
      </c>
      <c r="F56" s="38" t="s">
        <v>504</v>
      </c>
      <c r="G56" s="61">
        <v>9.26150084E8</v>
      </c>
      <c r="H56" s="40"/>
      <c r="I56" s="40">
        <v>796.0</v>
      </c>
      <c r="J56" s="40" t="s">
        <v>65</v>
      </c>
      <c r="K56" s="42" t="s">
        <v>505</v>
      </c>
      <c r="L56" s="42" t="s">
        <v>67</v>
      </c>
      <c r="M56" s="53" t="s">
        <v>374</v>
      </c>
      <c r="N56" s="43" t="s">
        <v>375</v>
      </c>
      <c r="O56" s="44" t="s">
        <v>376</v>
      </c>
      <c r="P56" s="45" t="s">
        <v>67</v>
      </c>
      <c r="Q56" s="45" t="s">
        <v>67</v>
      </c>
      <c r="R56" s="46">
        <v>3.0</v>
      </c>
      <c r="S56" s="45" t="s">
        <v>67</v>
      </c>
      <c r="T56" s="64"/>
      <c r="U56" s="45"/>
      <c r="V56" s="45"/>
      <c r="W56" s="68">
        <v>46133.0</v>
      </c>
      <c r="X56" s="49" t="s">
        <v>506</v>
      </c>
      <c r="Y56" s="49" t="s">
        <v>393</v>
      </c>
      <c r="Z56" s="40" t="s">
        <v>379</v>
      </c>
      <c r="AA56" s="45" t="s">
        <v>74</v>
      </c>
      <c r="AB56" s="45" t="s">
        <v>67</v>
      </c>
      <c r="AC56" s="45" t="s">
        <v>125</v>
      </c>
      <c r="AD56" s="51" t="s">
        <v>76</v>
      </c>
      <c r="AE56" s="54"/>
      <c r="AF56" s="45" t="s">
        <v>67</v>
      </c>
      <c r="AG56" s="45"/>
      <c r="AH56" s="45">
        <v>15.0</v>
      </c>
      <c r="AI56" s="45">
        <v>12.0</v>
      </c>
      <c r="AJ56" s="45"/>
      <c r="AK56" s="45"/>
      <c r="AL56" s="45"/>
      <c r="AM56" s="45"/>
      <c r="AN56" s="45">
        <v>0.0</v>
      </c>
      <c r="AO56" s="55"/>
      <c r="AP56" s="67" t="s">
        <v>502</v>
      </c>
      <c r="AQ56" s="54"/>
      <c r="AR56" s="54"/>
      <c r="AS56" s="54"/>
      <c r="AT56" s="54"/>
    </row>
    <row r="57">
      <c r="A57" s="35" t="s">
        <v>507</v>
      </c>
      <c r="B57" s="36" t="s">
        <v>319</v>
      </c>
      <c r="C57" s="36" t="s">
        <v>320</v>
      </c>
      <c r="D57" s="36" t="s">
        <v>320</v>
      </c>
      <c r="E57" s="62" t="s">
        <v>508</v>
      </c>
      <c r="F57" s="38" t="s">
        <v>509</v>
      </c>
      <c r="G57" s="61">
        <v>9.04832258E8</v>
      </c>
      <c r="H57" s="40">
        <v>2751.0</v>
      </c>
      <c r="I57" s="40">
        <v>877.0</v>
      </c>
      <c r="J57" s="40" t="s">
        <v>65</v>
      </c>
      <c r="K57" s="41" t="s">
        <v>510</v>
      </c>
      <c r="L57" s="42" t="s">
        <v>74</v>
      </c>
      <c r="M57" s="41" t="s">
        <v>328</v>
      </c>
      <c r="N57" s="43" t="s">
        <v>329</v>
      </c>
      <c r="O57" s="44">
        <v>9.97795341E8</v>
      </c>
      <c r="P57" s="45"/>
      <c r="Q57" s="45" t="s">
        <v>67</v>
      </c>
      <c r="R57" s="46">
        <v>1.0</v>
      </c>
      <c r="S57" s="45" t="s">
        <v>67</v>
      </c>
      <c r="T57" s="58"/>
      <c r="U57" s="45"/>
      <c r="V57" s="45"/>
      <c r="W57" s="68">
        <v>46132.0</v>
      </c>
      <c r="X57" s="49" t="s">
        <v>511</v>
      </c>
      <c r="Y57" s="49" t="s">
        <v>378</v>
      </c>
      <c r="Z57" s="40" t="s">
        <v>379</v>
      </c>
      <c r="AA57" s="45" t="s">
        <v>74</v>
      </c>
      <c r="AB57" s="45" t="s">
        <v>67</v>
      </c>
      <c r="AC57" s="45" t="s">
        <v>96</v>
      </c>
      <c r="AD57" s="51" t="s">
        <v>76</v>
      </c>
      <c r="AE57" s="54"/>
      <c r="AF57" s="45" t="s">
        <v>67</v>
      </c>
      <c r="AG57" s="45"/>
      <c r="AH57" s="45">
        <v>11.0</v>
      </c>
      <c r="AI57" s="45">
        <v>3.0</v>
      </c>
      <c r="AJ57" s="45"/>
      <c r="AK57" s="45"/>
      <c r="AL57" s="45"/>
      <c r="AM57" s="45"/>
      <c r="AN57" s="45">
        <v>0.0</v>
      </c>
      <c r="AO57" s="55"/>
      <c r="AP57" s="54"/>
      <c r="AQ57" s="54"/>
      <c r="AR57" s="54"/>
      <c r="AS57" s="54"/>
      <c r="AT57" s="54"/>
    </row>
    <row r="58">
      <c r="A58" s="35" t="s">
        <v>512</v>
      </c>
      <c r="B58" s="36" t="s">
        <v>319</v>
      </c>
      <c r="C58" s="36" t="s">
        <v>402</v>
      </c>
      <c r="D58" s="36" t="s">
        <v>513</v>
      </c>
      <c r="E58" s="62" t="s">
        <v>514</v>
      </c>
      <c r="F58" s="38" t="s">
        <v>515</v>
      </c>
      <c r="G58" s="61">
        <v>9.12789904E8</v>
      </c>
      <c r="H58" s="40"/>
      <c r="I58" s="40">
        <v>813.0</v>
      </c>
      <c r="J58" s="40" t="s">
        <v>65</v>
      </c>
      <c r="K58" s="41" t="s">
        <v>516</v>
      </c>
      <c r="L58" s="42" t="s">
        <v>67</v>
      </c>
      <c r="M58" s="41" t="s">
        <v>374</v>
      </c>
      <c r="N58" s="43" t="s">
        <v>375</v>
      </c>
      <c r="O58" s="44" t="s">
        <v>376</v>
      </c>
      <c r="P58" s="45"/>
      <c r="Q58" s="45" t="s">
        <v>67</v>
      </c>
      <c r="R58" s="46">
        <v>1.0</v>
      </c>
      <c r="S58" s="45" t="s">
        <v>67</v>
      </c>
      <c r="T58" s="58"/>
      <c r="U58" s="45"/>
      <c r="V58" s="45"/>
      <c r="W58" s="68">
        <v>46132.0</v>
      </c>
      <c r="X58" s="49" t="s">
        <v>517</v>
      </c>
      <c r="Y58" s="49" t="s">
        <v>393</v>
      </c>
      <c r="Z58" s="40" t="s">
        <v>379</v>
      </c>
      <c r="AA58" s="45" t="s">
        <v>74</v>
      </c>
      <c r="AB58" s="45" t="s">
        <v>67</v>
      </c>
      <c r="AC58" s="45" t="s">
        <v>475</v>
      </c>
      <c r="AD58" s="51" t="s">
        <v>76</v>
      </c>
      <c r="AE58" s="54"/>
      <c r="AF58" s="45" t="s">
        <v>67</v>
      </c>
      <c r="AG58" s="45"/>
      <c r="AH58" s="45">
        <v>20.0</v>
      </c>
      <c r="AI58" s="45">
        <v>18.0</v>
      </c>
      <c r="AJ58" s="45"/>
      <c r="AK58" s="45"/>
      <c r="AL58" s="45"/>
      <c r="AM58" s="45"/>
      <c r="AN58" s="45">
        <v>0.0</v>
      </c>
      <c r="AO58" s="55"/>
      <c r="AP58" s="54"/>
      <c r="AQ58" s="54"/>
      <c r="AR58" s="54"/>
      <c r="AS58" s="54"/>
      <c r="AT58" s="54"/>
    </row>
    <row r="59">
      <c r="A59" s="35" t="s">
        <v>518</v>
      </c>
      <c r="B59" s="36" t="s">
        <v>319</v>
      </c>
      <c r="C59" s="36" t="s">
        <v>483</v>
      </c>
      <c r="D59" s="36" t="s">
        <v>519</v>
      </c>
      <c r="E59" s="62" t="s">
        <v>520</v>
      </c>
      <c r="F59" s="38" t="s">
        <v>521</v>
      </c>
      <c r="G59" s="61">
        <v>9.60375682E8</v>
      </c>
      <c r="H59" s="40"/>
      <c r="I59" s="40">
        <v>804.0</v>
      </c>
      <c r="J59" s="40" t="s">
        <v>65</v>
      </c>
      <c r="K59" s="42" t="s">
        <v>522</v>
      </c>
      <c r="L59" s="42" t="s">
        <v>67</v>
      </c>
      <c r="M59" s="41" t="s">
        <v>339</v>
      </c>
      <c r="N59" s="43" t="s">
        <v>340</v>
      </c>
      <c r="O59" s="44" t="s">
        <v>341</v>
      </c>
      <c r="P59" s="45"/>
      <c r="Q59" s="45" t="s">
        <v>67</v>
      </c>
      <c r="R59" s="46">
        <v>1.0</v>
      </c>
      <c r="S59" s="45" t="s">
        <v>67</v>
      </c>
      <c r="T59" s="64"/>
      <c r="U59" s="45"/>
      <c r="V59" s="45"/>
      <c r="W59" s="68">
        <v>46133.0</v>
      </c>
      <c r="X59" s="49" t="s">
        <v>523</v>
      </c>
      <c r="Y59" s="49" t="s">
        <v>378</v>
      </c>
      <c r="Z59" s="40" t="s">
        <v>379</v>
      </c>
      <c r="AA59" s="45" t="s">
        <v>74</v>
      </c>
      <c r="AB59" s="45" t="s">
        <v>67</v>
      </c>
      <c r="AC59" s="45" t="s">
        <v>287</v>
      </c>
      <c r="AD59" s="51" t="s">
        <v>76</v>
      </c>
      <c r="AE59" s="54"/>
      <c r="AF59" s="45" t="s">
        <v>67</v>
      </c>
      <c r="AG59" s="45"/>
      <c r="AH59" s="45">
        <v>25.0</v>
      </c>
      <c r="AI59" s="45">
        <v>15.0</v>
      </c>
      <c r="AJ59" s="45"/>
      <c r="AK59" s="45"/>
      <c r="AL59" s="45"/>
      <c r="AM59" s="45"/>
      <c r="AN59" s="45">
        <v>0.0</v>
      </c>
      <c r="AO59" s="55"/>
      <c r="AP59" s="54"/>
      <c r="AQ59" s="54"/>
      <c r="AR59" s="54"/>
      <c r="AS59" s="54"/>
      <c r="AT59" s="54"/>
    </row>
    <row r="60">
      <c r="A60" s="35" t="s">
        <v>524</v>
      </c>
      <c r="B60" s="36" t="s">
        <v>319</v>
      </c>
      <c r="C60" s="36" t="s">
        <v>369</v>
      </c>
      <c r="D60" s="36" t="s">
        <v>525</v>
      </c>
      <c r="E60" s="62" t="s">
        <v>526</v>
      </c>
      <c r="F60" s="38" t="s">
        <v>527</v>
      </c>
      <c r="G60" s="61">
        <v>9.69833512E8</v>
      </c>
      <c r="H60" s="40"/>
      <c r="I60" s="40">
        <v>807.0</v>
      </c>
      <c r="J60" s="40" t="s">
        <v>65</v>
      </c>
      <c r="K60" s="41" t="s">
        <v>528</v>
      </c>
      <c r="L60" s="42" t="s">
        <v>67</v>
      </c>
      <c r="M60" s="41" t="s">
        <v>374</v>
      </c>
      <c r="N60" s="43" t="s">
        <v>375</v>
      </c>
      <c r="O60" s="44" t="s">
        <v>376</v>
      </c>
      <c r="P60" s="45"/>
      <c r="Q60" s="45" t="s">
        <v>67</v>
      </c>
      <c r="R60" s="46">
        <v>1.0</v>
      </c>
      <c r="S60" s="45" t="s">
        <v>67</v>
      </c>
      <c r="T60" s="58"/>
      <c r="U60" s="45"/>
      <c r="V60" s="45"/>
      <c r="W60" s="68">
        <v>46133.0</v>
      </c>
      <c r="X60" s="49" t="s">
        <v>529</v>
      </c>
      <c r="Y60" s="49" t="s">
        <v>393</v>
      </c>
      <c r="Z60" s="40" t="s">
        <v>379</v>
      </c>
      <c r="AA60" s="45" t="s">
        <v>74</v>
      </c>
      <c r="AB60" s="45" t="s">
        <v>67</v>
      </c>
      <c r="AC60" s="45" t="s">
        <v>86</v>
      </c>
      <c r="AD60" s="51" t="s">
        <v>76</v>
      </c>
      <c r="AE60" s="54"/>
      <c r="AF60" s="45" t="s">
        <v>67</v>
      </c>
      <c r="AG60" s="45"/>
      <c r="AH60" s="45">
        <v>11.0</v>
      </c>
      <c r="AI60" s="45">
        <v>10.0</v>
      </c>
      <c r="AJ60" s="45"/>
      <c r="AK60" s="45"/>
      <c r="AL60" s="45"/>
      <c r="AM60" s="45"/>
      <c r="AN60" s="45">
        <v>0.0</v>
      </c>
      <c r="AO60" s="55"/>
      <c r="AP60" s="54"/>
      <c r="AQ60" s="54"/>
      <c r="AR60" s="54"/>
      <c r="AS60" s="54"/>
      <c r="AT60" s="54"/>
    </row>
    <row r="61">
      <c r="A61" s="35" t="s">
        <v>530</v>
      </c>
      <c r="B61" s="36" t="s">
        <v>319</v>
      </c>
      <c r="C61" s="36" t="s">
        <v>531</v>
      </c>
      <c r="D61" s="36" t="s">
        <v>532</v>
      </c>
      <c r="E61" s="62" t="s">
        <v>533</v>
      </c>
      <c r="F61" s="38" t="s">
        <v>534</v>
      </c>
      <c r="G61" s="61">
        <v>9.29133894E8</v>
      </c>
      <c r="H61" s="40"/>
      <c r="I61" s="40">
        <v>809.0</v>
      </c>
      <c r="J61" s="40" t="s">
        <v>65</v>
      </c>
      <c r="K61" s="42" t="s">
        <v>535</v>
      </c>
      <c r="L61" s="42" t="s">
        <v>67</v>
      </c>
      <c r="M61" s="41" t="s">
        <v>339</v>
      </c>
      <c r="N61" s="43" t="s">
        <v>340</v>
      </c>
      <c r="O61" s="44" t="s">
        <v>341</v>
      </c>
      <c r="P61" s="45"/>
      <c r="Q61" s="45" t="s">
        <v>67</v>
      </c>
      <c r="R61" s="46">
        <v>2.0</v>
      </c>
      <c r="S61" s="45" t="s">
        <v>67</v>
      </c>
      <c r="T61" s="64"/>
      <c r="U61" s="45"/>
      <c r="V61" s="45"/>
      <c r="W61" s="68">
        <v>46134.0</v>
      </c>
      <c r="X61" s="49" t="s">
        <v>536</v>
      </c>
      <c r="Y61" s="49" t="s">
        <v>378</v>
      </c>
      <c r="Z61" s="40" t="s">
        <v>379</v>
      </c>
      <c r="AA61" s="45" t="s">
        <v>67</v>
      </c>
      <c r="AB61" s="45" t="s">
        <v>67</v>
      </c>
      <c r="AC61" s="45" t="s">
        <v>135</v>
      </c>
      <c r="AD61" s="51" t="s">
        <v>76</v>
      </c>
      <c r="AE61" s="54"/>
      <c r="AF61" s="45" t="s">
        <v>67</v>
      </c>
      <c r="AG61" s="45"/>
      <c r="AH61" s="45">
        <v>9.0</v>
      </c>
      <c r="AI61" s="45">
        <v>6.0</v>
      </c>
      <c r="AJ61" s="45"/>
      <c r="AK61" s="45"/>
      <c r="AL61" s="45"/>
      <c r="AM61" s="45"/>
      <c r="AN61" s="45">
        <v>0.0</v>
      </c>
      <c r="AO61" s="55"/>
      <c r="AP61" s="54"/>
      <c r="AQ61" s="54"/>
      <c r="AR61" s="54"/>
      <c r="AS61" s="54"/>
      <c r="AT61" s="54"/>
    </row>
    <row r="62">
      <c r="A62" s="35" t="s">
        <v>530</v>
      </c>
      <c r="B62" s="36" t="s">
        <v>319</v>
      </c>
      <c r="C62" s="36" t="s">
        <v>531</v>
      </c>
      <c r="D62" s="36" t="s">
        <v>532</v>
      </c>
      <c r="E62" s="62" t="s">
        <v>537</v>
      </c>
      <c r="F62" s="38" t="s">
        <v>538</v>
      </c>
      <c r="G62" s="61">
        <v>9.51565074E8</v>
      </c>
      <c r="H62" s="40"/>
      <c r="I62" s="40">
        <v>808.0</v>
      </c>
      <c r="J62" s="40" t="s">
        <v>65</v>
      </c>
      <c r="K62" s="41" t="s">
        <v>539</v>
      </c>
      <c r="L62" s="42" t="s">
        <v>74</v>
      </c>
      <c r="M62" s="41" t="s">
        <v>339</v>
      </c>
      <c r="N62" s="43" t="s">
        <v>340</v>
      </c>
      <c r="O62" s="44" t="s">
        <v>341</v>
      </c>
      <c r="P62" s="45"/>
      <c r="Q62" s="45" t="s">
        <v>67</v>
      </c>
      <c r="R62" s="46">
        <v>2.0</v>
      </c>
      <c r="S62" s="45" t="s">
        <v>67</v>
      </c>
      <c r="T62" s="64"/>
      <c r="U62" s="45"/>
      <c r="V62" s="45"/>
      <c r="W62" s="68">
        <v>46134.0</v>
      </c>
      <c r="X62" s="49" t="s">
        <v>540</v>
      </c>
      <c r="Y62" s="49" t="s">
        <v>378</v>
      </c>
      <c r="Z62" s="40" t="s">
        <v>379</v>
      </c>
      <c r="AA62" s="45" t="s">
        <v>67</v>
      </c>
      <c r="AB62" s="45" t="s">
        <v>67</v>
      </c>
      <c r="AC62" s="45" t="s">
        <v>135</v>
      </c>
      <c r="AD62" s="51" t="s">
        <v>76</v>
      </c>
      <c r="AE62" s="54"/>
      <c r="AF62" s="45" t="s">
        <v>67</v>
      </c>
      <c r="AG62" s="45"/>
      <c r="AH62" s="45">
        <v>9.0</v>
      </c>
      <c r="AI62" s="45">
        <v>6.0</v>
      </c>
      <c r="AJ62" s="45"/>
      <c r="AK62" s="45"/>
      <c r="AL62" s="45"/>
      <c r="AM62" s="45"/>
      <c r="AN62" s="45">
        <v>0.0</v>
      </c>
      <c r="AO62" s="55"/>
      <c r="AP62" s="54"/>
      <c r="AQ62" s="54"/>
      <c r="AR62" s="54"/>
      <c r="AS62" s="54"/>
      <c r="AT62" s="54"/>
    </row>
    <row r="63">
      <c r="A63" s="35" t="s">
        <v>541</v>
      </c>
      <c r="B63" s="36" t="s">
        <v>319</v>
      </c>
      <c r="C63" s="36" t="s">
        <v>542</v>
      </c>
      <c r="D63" s="36" t="s">
        <v>543</v>
      </c>
      <c r="E63" s="62" t="s">
        <v>544</v>
      </c>
      <c r="F63" s="54" t="s">
        <v>545</v>
      </c>
      <c r="G63" s="39" t="s">
        <v>546</v>
      </c>
      <c r="H63" s="38"/>
      <c r="I63" s="38" t="s">
        <v>547</v>
      </c>
      <c r="J63" s="40" t="s">
        <v>65</v>
      </c>
      <c r="K63" s="41" t="s">
        <v>548</v>
      </c>
      <c r="L63" s="42" t="s">
        <v>67</v>
      </c>
      <c r="M63" s="53" t="s">
        <v>549</v>
      </c>
      <c r="N63" s="43" t="s">
        <v>550</v>
      </c>
      <c r="O63" s="44" t="s">
        <v>551</v>
      </c>
      <c r="P63" s="45" t="s">
        <v>67</v>
      </c>
      <c r="Q63" s="45" t="s">
        <v>67</v>
      </c>
      <c r="R63" s="46">
        <v>2.0</v>
      </c>
      <c r="S63" s="45" t="s">
        <v>67</v>
      </c>
      <c r="T63" s="58"/>
      <c r="U63" s="45"/>
      <c r="V63" s="45"/>
      <c r="W63" s="68">
        <v>46133.0</v>
      </c>
      <c r="X63" s="49" t="s">
        <v>552</v>
      </c>
      <c r="Y63" s="49" t="s">
        <v>393</v>
      </c>
      <c r="Z63" s="40" t="s">
        <v>379</v>
      </c>
      <c r="AA63" s="45" t="s">
        <v>74</v>
      </c>
      <c r="AB63" s="45" t="s">
        <v>67</v>
      </c>
      <c r="AC63" s="45" t="s">
        <v>553</v>
      </c>
      <c r="AD63" s="51" t="s">
        <v>76</v>
      </c>
      <c r="AE63" s="54"/>
      <c r="AF63" s="45" t="s">
        <v>67</v>
      </c>
      <c r="AG63" s="45"/>
      <c r="AH63" s="45">
        <v>42.0</v>
      </c>
      <c r="AI63" s="45">
        <v>5.0</v>
      </c>
      <c r="AJ63" s="45"/>
      <c r="AK63" s="45"/>
      <c r="AL63" s="45"/>
      <c r="AM63" s="45"/>
      <c r="AN63" s="45">
        <v>0.0</v>
      </c>
      <c r="AO63" s="60" t="s">
        <v>554</v>
      </c>
      <c r="AP63" s="54"/>
      <c r="AQ63" s="54"/>
      <c r="AR63" s="54"/>
      <c r="AS63" s="54"/>
      <c r="AT63" s="54"/>
    </row>
    <row r="64">
      <c r="A64" s="35" t="s">
        <v>541</v>
      </c>
      <c r="B64" s="36" t="s">
        <v>319</v>
      </c>
      <c r="C64" s="36" t="s">
        <v>542</v>
      </c>
      <c r="D64" s="36" t="s">
        <v>543</v>
      </c>
      <c r="E64" s="62" t="s">
        <v>555</v>
      </c>
      <c r="F64" s="77" t="s">
        <v>556</v>
      </c>
      <c r="G64" s="61">
        <v>9.61553606E8</v>
      </c>
      <c r="H64" s="40"/>
      <c r="I64" s="40"/>
      <c r="J64" s="40" t="s">
        <v>65</v>
      </c>
      <c r="K64" s="42" t="s">
        <v>557</v>
      </c>
      <c r="L64" s="42" t="s">
        <v>67</v>
      </c>
      <c r="M64" s="53" t="s">
        <v>549</v>
      </c>
      <c r="N64" s="43" t="s">
        <v>550</v>
      </c>
      <c r="O64" s="44" t="s">
        <v>551</v>
      </c>
      <c r="P64" s="45" t="s">
        <v>67</v>
      </c>
      <c r="Q64" s="45" t="s">
        <v>67</v>
      </c>
      <c r="R64" s="46">
        <v>2.0</v>
      </c>
      <c r="S64" s="45" t="s">
        <v>67</v>
      </c>
      <c r="T64" s="58"/>
      <c r="U64" s="45"/>
      <c r="V64" s="45"/>
      <c r="W64" s="68">
        <v>46133.0</v>
      </c>
      <c r="X64" s="49" t="s">
        <v>558</v>
      </c>
      <c r="Y64" s="49" t="s">
        <v>393</v>
      </c>
      <c r="Z64" s="40" t="s">
        <v>379</v>
      </c>
      <c r="AA64" s="45" t="s">
        <v>74</v>
      </c>
      <c r="AB64" s="45" t="s">
        <v>67</v>
      </c>
      <c r="AC64" s="45" t="s">
        <v>553</v>
      </c>
      <c r="AD64" s="51" t="s">
        <v>76</v>
      </c>
      <c r="AE64" s="54"/>
      <c r="AF64" s="45" t="s">
        <v>67</v>
      </c>
      <c r="AG64" s="45"/>
      <c r="AH64" s="45">
        <v>42.0</v>
      </c>
      <c r="AI64" s="45">
        <v>5.0</v>
      </c>
      <c r="AJ64" s="45"/>
      <c r="AK64" s="45"/>
      <c r="AL64" s="45"/>
      <c r="AM64" s="45"/>
      <c r="AN64" s="45">
        <v>0.0</v>
      </c>
      <c r="AO64" s="60" t="s">
        <v>554</v>
      </c>
      <c r="AP64" s="54"/>
      <c r="AQ64" s="54"/>
      <c r="AR64" s="54"/>
      <c r="AS64" s="54"/>
      <c r="AT64" s="54"/>
    </row>
    <row r="65">
      <c r="A65" s="35" t="s">
        <v>559</v>
      </c>
      <c r="B65" s="36" t="s">
        <v>319</v>
      </c>
      <c r="C65" s="36" t="s">
        <v>560</v>
      </c>
      <c r="D65" s="36" t="s">
        <v>561</v>
      </c>
      <c r="E65" s="62" t="s">
        <v>562</v>
      </c>
      <c r="F65" s="38" t="s">
        <v>563</v>
      </c>
      <c r="G65" s="61">
        <v>9.55041631E8</v>
      </c>
      <c r="H65" s="40"/>
      <c r="I65" s="40">
        <v>791.0</v>
      </c>
      <c r="J65" s="40" t="s">
        <v>65</v>
      </c>
      <c r="K65" s="41" t="s">
        <v>564</v>
      </c>
      <c r="L65" s="42" t="s">
        <v>67</v>
      </c>
      <c r="M65" s="41" t="s">
        <v>374</v>
      </c>
      <c r="N65" s="43" t="s">
        <v>375</v>
      </c>
      <c r="O65" s="44" t="s">
        <v>376</v>
      </c>
      <c r="P65" s="45"/>
      <c r="Q65" s="45" t="s">
        <v>67</v>
      </c>
      <c r="R65" s="46">
        <v>2.0</v>
      </c>
      <c r="S65" s="45" t="s">
        <v>67</v>
      </c>
      <c r="T65" s="58"/>
      <c r="U65" s="45"/>
      <c r="V65" s="45"/>
      <c r="W65" s="68">
        <v>46133.0</v>
      </c>
      <c r="X65" s="49" t="s">
        <v>565</v>
      </c>
      <c r="Y65" s="49" t="s">
        <v>378</v>
      </c>
      <c r="Z65" s="40" t="s">
        <v>379</v>
      </c>
      <c r="AA65" s="45" t="s">
        <v>74</v>
      </c>
      <c r="AB65" s="45" t="s">
        <v>67</v>
      </c>
      <c r="AC65" s="45" t="s">
        <v>287</v>
      </c>
      <c r="AD65" s="51" t="s">
        <v>76</v>
      </c>
      <c r="AE65" s="54"/>
      <c r="AF65" s="45" t="s">
        <v>67</v>
      </c>
      <c r="AG65" s="45"/>
      <c r="AH65" s="45">
        <v>10.0</v>
      </c>
      <c r="AI65" s="45">
        <v>3.0</v>
      </c>
      <c r="AJ65" s="45"/>
      <c r="AK65" s="45"/>
      <c r="AL65" s="45"/>
      <c r="AM65" s="45"/>
      <c r="AN65" s="45">
        <v>0.0</v>
      </c>
      <c r="AO65" s="55"/>
      <c r="AP65" s="54"/>
      <c r="AQ65" s="54"/>
      <c r="AR65" s="54"/>
      <c r="AS65" s="54"/>
      <c r="AT65" s="54"/>
    </row>
    <row r="66">
      <c r="A66" s="35" t="s">
        <v>566</v>
      </c>
      <c r="B66" s="36" t="s">
        <v>319</v>
      </c>
      <c r="C66" s="36" t="s">
        <v>320</v>
      </c>
      <c r="D66" s="36" t="s">
        <v>567</v>
      </c>
      <c r="E66" s="62" t="s">
        <v>568</v>
      </c>
      <c r="F66" s="38" t="s">
        <v>569</v>
      </c>
      <c r="G66" s="61">
        <v>9.87940013E8</v>
      </c>
      <c r="H66" s="40">
        <v>2755.0</v>
      </c>
      <c r="I66" s="40">
        <v>882.0</v>
      </c>
      <c r="J66" s="40" t="s">
        <v>65</v>
      </c>
      <c r="K66" s="41" t="s">
        <v>570</v>
      </c>
      <c r="L66" s="42" t="s">
        <v>67</v>
      </c>
      <c r="M66" s="53" t="s">
        <v>328</v>
      </c>
      <c r="N66" s="43" t="s">
        <v>329</v>
      </c>
      <c r="O66" s="44">
        <v>9.97795341E8</v>
      </c>
      <c r="P66" s="45" t="s">
        <v>67</v>
      </c>
      <c r="Q66" s="45" t="s">
        <v>67</v>
      </c>
      <c r="R66" s="46">
        <v>1.0</v>
      </c>
      <c r="S66" s="45" t="s">
        <v>67</v>
      </c>
      <c r="T66" s="58"/>
      <c r="U66" s="45"/>
      <c r="V66" s="45"/>
      <c r="W66" s="68">
        <v>46132.0</v>
      </c>
      <c r="X66" s="49" t="s">
        <v>571</v>
      </c>
      <c r="Y66" s="49" t="s">
        <v>393</v>
      </c>
      <c r="Z66" s="40" t="s">
        <v>379</v>
      </c>
      <c r="AA66" s="45" t="s">
        <v>74</v>
      </c>
      <c r="AB66" s="45" t="s">
        <v>67</v>
      </c>
      <c r="AC66" s="45" t="s">
        <v>475</v>
      </c>
      <c r="AD66" s="51" t="s">
        <v>76</v>
      </c>
      <c r="AE66" s="54"/>
      <c r="AF66" s="45" t="s">
        <v>67</v>
      </c>
      <c r="AG66" s="45"/>
      <c r="AH66" s="45">
        <v>20.0</v>
      </c>
      <c r="AI66" s="45">
        <v>11.0</v>
      </c>
      <c r="AJ66" s="45"/>
      <c r="AK66" s="45"/>
      <c r="AL66" s="45"/>
      <c r="AM66" s="45"/>
      <c r="AN66" s="45">
        <v>0.0</v>
      </c>
      <c r="AO66" s="55"/>
      <c r="AP66" s="54"/>
      <c r="AQ66" s="54"/>
      <c r="AR66" s="54"/>
      <c r="AS66" s="54"/>
      <c r="AT66" s="54"/>
    </row>
    <row r="67">
      <c r="A67" s="35" t="s">
        <v>572</v>
      </c>
      <c r="B67" s="36" t="s">
        <v>573</v>
      </c>
      <c r="C67" s="36" t="s">
        <v>574</v>
      </c>
      <c r="D67" s="36" t="s">
        <v>575</v>
      </c>
      <c r="E67" s="62" t="s">
        <v>576</v>
      </c>
      <c r="F67" s="38" t="s">
        <v>577</v>
      </c>
      <c r="G67" s="61">
        <v>9.41189223E8</v>
      </c>
      <c r="H67" s="40"/>
      <c r="I67" s="40"/>
      <c r="J67" s="40" t="s">
        <v>224</v>
      </c>
      <c r="K67" s="41" t="s">
        <v>578</v>
      </c>
      <c r="L67" s="42" t="s">
        <v>67</v>
      </c>
      <c r="M67" s="41" t="s">
        <v>579</v>
      </c>
      <c r="N67" s="58" t="s">
        <v>580</v>
      </c>
      <c r="O67" s="42" t="s">
        <v>581</v>
      </c>
      <c r="P67" s="45"/>
      <c r="Q67" s="45" t="s">
        <v>67</v>
      </c>
      <c r="R67" s="46">
        <v>1.0</v>
      </c>
      <c r="S67" s="45" t="s">
        <v>67</v>
      </c>
      <c r="T67" s="64"/>
      <c r="U67" s="45"/>
      <c r="V67" s="45"/>
      <c r="W67" s="68">
        <v>46133.0</v>
      </c>
      <c r="X67" s="49" t="s">
        <v>582</v>
      </c>
      <c r="Y67" s="49" t="s">
        <v>378</v>
      </c>
      <c r="Z67" s="40" t="s">
        <v>379</v>
      </c>
      <c r="AA67" s="45" t="s">
        <v>74</v>
      </c>
      <c r="AB67" s="45" t="s">
        <v>67</v>
      </c>
      <c r="AC67" s="45" t="s">
        <v>86</v>
      </c>
      <c r="AD67" s="51" t="s">
        <v>76</v>
      </c>
      <c r="AE67" s="54"/>
      <c r="AF67" s="45" t="s">
        <v>67</v>
      </c>
      <c r="AG67" s="45"/>
      <c r="AH67" s="45">
        <v>12.0</v>
      </c>
      <c r="AI67" s="45">
        <v>8.0</v>
      </c>
      <c r="AJ67" s="45"/>
      <c r="AK67" s="45"/>
      <c r="AL67" s="45"/>
      <c r="AM67" s="45"/>
      <c r="AN67" s="45">
        <v>0.0</v>
      </c>
      <c r="AO67" s="55"/>
      <c r="AP67" s="54"/>
      <c r="AQ67" s="54"/>
      <c r="AR67" s="54"/>
      <c r="AS67" s="54"/>
      <c r="AT67" s="54"/>
    </row>
    <row r="68">
      <c r="A68" s="35" t="s">
        <v>583</v>
      </c>
      <c r="B68" s="36" t="s">
        <v>573</v>
      </c>
      <c r="C68" s="36" t="s">
        <v>584</v>
      </c>
      <c r="D68" s="36" t="s">
        <v>585</v>
      </c>
      <c r="E68" s="62" t="s">
        <v>586</v>
      </c>
      <c r="F68" s="38" t="s">
        <v>587</v>
      </c>
      <c r="G68" s="61">
        <v>9.3344555E8</v>
      </c>
      <c r="H68" s="40">
        <v>3004.0</v>
      </c>
      <c r="I68" s="40">
        <v>1176.0</v>
      </c>
      <c r="J68" s="40" t="s">
        <v>65</v>
      </c>
      <c r="K68" s="42" t="s">
        <v>588</v>
      </c>
      <c r="L68" s="42" t="s">
        <v>67</v>
      </c>
      <c r="M68" s="41" t="s">
        <v>589</v>
      </c>
      <c r="N68" s="43" t="s">
        <v>590</v>
      </c>
      <c r="O68" s="42" t="s">
        <v>591</v>
      </c>
      <c r="P68" s="45"/>
      <c r="Q68" s="45" t="s">
        <v>67</v>
      </c>
      <c r="R68" s="46">
        <v>1.0</v>
      </c>
      <c r="S68" s="45" t="s">
        <v>67</v>
      </c>
      <c r="T68" s="64"/>
      <c r="U68" s="45"/>
      <c r="V68" s="45"/>
      <c r="W68" s="68">
        <v>46133.0</v>
      </c>
      <c r="X68" s="49" t="s">
        <v>488</v>
      </c>
      <c r="Y68" s="49" t="s">
        <v>378</v>
      </c>
      <c r="Z68" s="40" t="s">
        <v>379</v>
      </c>
      <c r="AA68" s="45" t="s">
        <v>74</v>
      </c>
      <c r="AB68" s="45" t="s">
        <v>67</v>
      </c>
      <c r="AC68" s="45" t="s">
        <v>135</v>
      </c>
      <c r="AD68" s="51" t="s">
        <v>76</v>
      </c>
      <c r="AE68" s="54"/>
      <c r="AF68" s="45" t="s">
        <v>67</v>
      </c>
      <c r="AG68" s="45"/>
      <c r="AH68" s="45">
        <v>15.0</v>
      </c>
      <c r="AI68" s="45">
        <v>12.0</v>
      </c>
      <c r="AJ68" s="45"/>
      <c r="AK68" s="45"/>
      <c r="AL68" s="45"/>
      <c r="AM68" s="45"/>
      <c r="AN68" s="45">
        <v>0.0</v>
      </c>
      <c r="AO68" s="55"/>
      <c r="AP68" s="54"/>
      <c r="AQ68" s="54"/>
      <c r="AR68" s="54"/>
      <c r="AS68" s="54"/>
      <c r="AT68" s="54"/>
    </row>
    <row r="69">
      <c r="A69" s="35" t="s">
        <v>583</v>
      </c>
      <c r="B69" s="36" t="s">
        <v>573</v>
      </c>
      <c r="C69" s="36" t="s">
        <v>584</v>
      </c>
      <c r="D69" s="36" t="s">
        <v>585</v>
      </c>
      <c r="E69" s="62" t="s">
        <v>592</v>
      </c>
      <c r="F69" s="38" t="s">
        <v>593</v>
      </c>
      <c r="G69" s="70"/>
      <c r="H69" s="50"/>
      <c r="I69" s="50"/>
      <c r="J69" s="40" t="s">
        <v>224</v>
      </c>
      <c r="K69" s="41" t="s">
        <v>594</v>
      </c>
      <c r="L69" s="42" t="s">
        <v>67</v>
      </c>
      <c r="M69" s="41" t="s">
        <v>589</v>
      </c>
      <c r="N69" s="43" t="s">
        <v>590</v>
      </c>
      <c r="O69" s="42" t="s">
        <v>591</v>
      </c>
      <c r="P69" s="45"/>
      <c r="Q69" s="45" t="s">
        <v>67</v>
      </c>
      <c r="R69" s="46">
        <v>1.0</v>
      </c>
      <c r="S69" s="45" t="s">
        <v>67</v>
      </c>
      <c r="T69" s="64"/>
      <c r="U69" s="45"/>
      <c r="V69" s="45"/>
      <c r="W69" s="68">
        <v>46133.0</v>
      </c>
      <c r="X69" s="49" t="s">
        <v>488</v>
      </c>
      <c r="Y69" s="49" t="s">
        <v>378</v>
      </c>
      <c r="Z69" s="40" t="s">
        <v>379</v>
      </c>
      <c r="AA69" s="45" t="s">
        <v>74</v>
      </c>
      <c r="AB69" s="45" t="s">
        <v>67</v>
      </c>
      <c r="AC69" s="45" t="s">
        <v>135</v>
      </c>
      <c r="AD69" s="51" t="s">
        <v>76</v>
      </c>
      <c r="AE69" s="54"/>
      <c r="AF69" s="45" t="s">
        <v>67</v>
      </c>
      <c r="AG69" s="45"/>
      <c r="AH69" s="45">
        <v>15.0</v>
      </c>
      <c r="AI69" s="45">
        <v>12.0</v>
      </c>
      <c r="AJ69" s="45"/>
      <c r="AK69" s="45"/>
      <c r="AL69" s="45"/>
      <c r="AM69" s="45"/>
      <c r="AN69" s="45">
        <v>0.0</v>
      </c>
      <c r="AO69" s="55"/>
      <c r="AP69" s="54"/>
      <c r="AQ69" s="54"/>
      <c r="AR69" s="54"/>
      <c r="AS69" s="54"/>
      <c r="AT69" s="54"/>
    </row>
    <row r="70">
      <c r="A70" s="35" t="s">
        <v>595</v>
      </c>
      <c r="B70" s="78" t="s">
        <v>573</v>
      </c>
      <c r="C70" s="78" t="s">
        <v>596</v>
      </c>
      <c r="D70" s="61" t="s">
        <v>597</v>
      </c>
      <c r="E70" s="79" t="s">
        <v>590</v>
      </c>
      <c r="F70" s="80" t="s">
        <v>598</v>
      </c>
      <c r="G70" s="78">
        <v>9.8369484E8</v>
      </c>
      <c r="H70" s="81" t="s">
        <v>200</v>
      </c>
      <c r="I70" s="81" t="s">
        <v>599</v>
      </c>
      <c r="J70" s="81" t="s">
        <v>149</v>
      </c>
      <c r="K70" s="82" t="s">
        <v>600</v>
      </c>
      <c r="L70" s="42" t="s">
        <v>74</v>
      </c>
      <c r="M70" s="82" t="s">
        <v>589</v>
      </c>
      <c r="N70" s="83" t="s">
        <v>590</v>
      </c>
      <c r="O70" s="42" t="s">
        <v>591</v>
      </c>
      <c r="P70" s="84"/>
      <c r="Q70" s="45" t="s">
        <v>67</v>
      </c>
      <c r="R70" s="85">
        <v>1.0</v>
      </c>
      <c r="S70" s="84" t="s">
        <v>67</v>
      </c>
      <c r="T70" s="86"/>
      <c r="U70" s="45"/>
      <c r="V70" s="84"/>
      <c r="W70" s="87"/>
      <c r="X70" s="88" t="s">
        <v>205</v>
      </c>
      <c r="Y70" s="88" t="s">
        <v>601</v>
      </c>
      <c r="Z70" s="81" t="s">
        <v>602</v>
      </c>
      <c r="AA70" s="45" t="s">
        <v>74</v>
      </c>
      <c r="AB70" s="45" t="s">
        <v>67</v>
      </c>
      <c r="AC70" s="45" t="s">
        <v>149</v>
      </c>
      <c r="AD70" s="51" t="s">
        <v>76</v>
      </c>
      <c r="AE70" s="89"/>
      <c r="AF70" s="84"/>
      <c r="AG70" s="84"/>
      <c r="AH70" s="45">
        <v>0.0</v>
      </c>
      <c r="AI70" s="45"/>
      <c r="AJ70" s="45"/>
      <c r="AK70" s="45"/>
      <c r="AL70" s="45"/>
      <c r="AM70" s="45"/>
      <c r="AN70" s="45">
        <v>0.0</v>
      </c>
      <c r="AO70" s="90"/>
      <c r="AP70" s="89"/>
      <c r="AQ70" s="89"/>
      <c r="AR70" s="89"/>
      <c r="AS70" s="89"/>
      <c r="AT70" s="89"/>
    </row>
    <row r="71">
      <c r="A71" s="35" t="s">
        <v>603</v>
      </c>
      <c r="B71" s="78" t="s">
        <v>573</v>
      </c>
      <c r="C71" s="78" t="s">
        <v>584</v>
      </c>
      <c r="D71" s="78" t="s">
        <v>604</v>
      </c>
      <c r="E71" s="91" t="s">
        <v>605</v>
      </c>
      <c r="F71" s="80" t="s">
        <v>606</v>
      </c>
      <c r="G71" s="80">
        <v>9.72144281E8</v>
      </c>
      <c r="H71" s="80"/>
      <c r="I71" s="81"/>
      <c r="J71" s="81" t="s">
        <v>65</v>
      </c>
      <c r="K71" s="92" t="s">
        <v>607</v>
      </c>
      <c r="L71" s="42" t="s">
        <v>67</v>
      </c>
      <c r="M71" s="82" t="s">
        <v>589</v>
      </c>
      <c r="N71" s="83" t="s">
        <v>590</v>
      </c>
      <c r="O71" s="42" t="s">
        <v>591</v>
      </c>
      <c r="P71" s="84"/>
      <c r="Q71" s="45" t="s">
        <v>67</v>
      </c>
      <c r="R71" s="85">
        <v>1.0</v>
      </c>
      <c r="S71" s="84" t="s">
        <v>67</v>
      </c>
      <c r="T71" s="93"/>
      <c r="U71" s="45" t="s">
        <v>67</v>
      </c>
      <c r="V71" s="84" t="s">
        <v>608</v>
      </c>
      <c r="W71" s="94">
        <v>46133.0</v>
      </c>
      <c r="X71" s="88" t="s">
        <v>205</v>
      </c>
      <c r="Y71" s="88" t="s">
        <v>601</v>
      </c>
      <c r="Z71" s="81" t="s">
        <v>602</v>
      </c>
      <c r="AA71" s="45" t="s">
        <v>67</v>
      </c>
      <c r="AB71" s="45" t="s">
        <v>67</v>
      </c>
      <c r="AC71" s="45" t="s">
        <v>475</v>
      </c>
      <c r="AD71" s="51" t="s">
        <v>76</v>
      </c>
      <c r="AE71" s="89"/>
      <c r="AF71" s="84" t="s">
        <v>67</v>
      </c>
      <c r="AG71" s="84"/>
      <c r="AH71" s="45">
        <v>0.0</v>
      </c>
      <c r="AI71" s="45"/>
      <c r="AJ71" s="45"/>
      <c r="AK71" s="45"/>
      <c r="AL71" s="45"/>
      <c r="AM71" s="45"/>
      <c r="AN71" s="45">
        <v>0.0</v>
      </c>
      <c r="AO71" s="90"/>
      <c r="AP71" s="89"/>
      <c r="AQ71" s="89"/>
      <c r="AR71" s="89"/>
      <c r="AS71" s="89"/>
      <c r="AT71" s="89"/>
    </row>
    <row r="72">
      <c r="A72" s="35" t="s">
        <v>609</v>
      </c>
      <c r="B72" s="78" t="s">
        <v>573</v>
      </c>
      <c r="C72" s="78" t="s">
        <v>610</v>
      </c>
      <c r="D72" s="78" t="s">
        <v>611</v>
      </c>
      <c r="E72" s="95" t="s">
        <v>612</v>
      </c>
      <c r="F72" s="80" t="s">
        <v>613</v>
      </c>
      <c r="G72" s="78">
        <v>9.02046408E8</v>
      </c>
      <c r="H72" s="96"/>
      <c r="I72" s="81"/>
      <c r="J72" s="81" t="s">
        <v>224</v>
      </c>
      <c r="K72" s="82" t="s">
        <v>614</v>
      </c>
      <c r="L72" s="42" t="s">
        <v>67</v>
      </c>
      <c r="M72" s="82" t="s">
        <v>589</v>
      </c>
      <c r="N72" s="83" t="s">
        <v>590</v>
      </c>
      <c r="O72" s="42" t="s">
        <v>591</v>
      </c>
      <c r="P72" s="84"/>
      <c r="Q72" s="45" t="s">
        <v>67</v>
      </c>
      <c r="R72" s="85">
        <v>1.0</v>
      </c>
      <c r="S72" s="84" t="s">
        <v>67</v>
      </c>
      <c r="T72" s="93"/>
      <c r="U72" s="45"/>
      <c r="V72" s="84" t="s">
        <v>608</v>
      </c>
      <c r="W72" s="94">
        <v>46133.0</v>
      </c>
      <c r="X72" s="88" t="s">
        <v>205</v>
      </c>
      <c r="Y72" s="88" t="s">
        <v>601</v>
      </c>
      <c r="Z72" s="81" t="s">
        <v>602</v>
      </c>
      <c r="AA72" s="45" t="s">
        <v>74</v>
      </c>
      <c r="AB72" s="45" t="s">
        <v>67</v>
      </c>
      <c r="AC72" s="45" t="s">
        <v>306</v>
      </c>
      <c r="AD72" s="51" t="s">
        <v>76</v>
      </c>
      <c r="AE72" s="89"/>
      <c r="AF72" s="84" t="s">
        <v>67</v>
      </c>
      <c r="AG72" s="84"/>
      <c r="AH72" s="45">
        <v>0.0</v>
      </c>
      <c r="AI72" s="45"/>
      <c r="AJ72" s="45"/>
      <c r="AK72" s="45"/>
      <c r="AL72" s="45"/>
      <c r="AM72" s="45"/>
      <c r="AN72" s="45">
        <v>0.0</v>
      </c>
      <c r="AO72" s="90"/>
      <c r="AP72" s="89"/>
      <c r="AQ72" s="89"/>
      <c r="AR72" s="89"/>
      <c r="AS72" s="89"/>
      <c r="AT72" s="89"/>
    </row>
    <row r="73">
      <c r="A73" s="35" t="s">
        <v>615</v>
      </c>
      <c r="B73" s="78" t="s">
        <v>573</v>
      </c>
      <c r="C73" s="78" t="s">
        <v>610</v>
      </c>
      <c r="D73" s="78" t="s">
        <v>616</v>
      </c>
      <c r="E73" s="95" t="s">
        <v>617</v>
      </c>
      <c r="F73" s="80" t="s">
        <v>618</v>
      </c>
      <c r="G73" s="78">
        <v>9.25201019E8</v>
      </c>
      <c r="H73" s="81">
        <v>2969.0</v>
      </c>
      <c r="I73" s="81">
        <v>1185.0</v>
      </c>
      <c r="J73" s="81" t="s">
        <v>65</v>
      </c>
      <c r="K73" s="82" t="s">
        <v>619</v>
      </c>
      <c r="L73" s="42" t="s">
        <v>67</v>
      </c>
      <c r="M73" s="82" t="s">
        <v>589</v>
      </c>
      <c r="N73" s="83" t="s">
        <v>590</v>
      </c>
      <c r="O73" s="42" t="s">
        <v>591</v>
      </c>
      <c r="P73" s="84"/>
      <c r="Q73" s="45" t="s">
        <v>67</v>
      </c>
      <c r="R73" s="85">
        <v>1.0</v>
      </c>
      <c r="S73" s="84" t="s">
        <v>67</v>
      </c>
      <c r="T73" s="93"/>
      <c r="U73" s="45"/>
      <c r="V73" s="84" t="s">
        <v>608</v>
      </c>
      <c r="W73" s="87"/>
      <c r="X73" s="88" t="s">
        <v>205</v>
      </c>
      <c r="Y73" s="88" t="s">
        <v>601</v>
      </c>
      <c r="Z73" s="81" t="s">
        <v>602</v>
      </c>
      <c r="AA73" s="45" t="s">
        <v>74</v>
      </c>
      <c r="AB73" s="45" t="s">
        <v>67</v>
      </c>
      <c r="AC73" s="45" t="s">
        <v>620</v>
      </c>
      <c r="AD73" s="51" t="s">
        <v>76</v>
      </c>
      <c r="AE73" s="89"/>
      <c r="AF73" s="84" t="s">
        <v>67</v>
      </c>
      <c r="AG73" s="84"/>
      <c r="AH73" s="45">
        <v>0.0</v>
      </c>
      <c r="AI73" s="45"/>
      <c r="AJ73" s="45"/>
      <c r="AK73" s="45"/>
      <c r="AL73" s="45"/>
      <c r="AM73" s="45"/>
      <c r="AN73" s="45">
        <v>0.0</v>
      </c>
      <c r="AO73" s="90"/>
      <c r="AP73" s="89"/>
      <c r="AQ73" s="89"/>
      <c r="AR73" s="89"/>
      <c r="AS73" s="89"/>
      <c r="AT73" s="89"/>
    </row>
    <row r="74">
      <c r="A74" s="35" t="s">
        <v>621</v>
      </c>
      <c r="B74" s="78" t="s">
        <v>573</v>
      </c>
      <c r="C74" s="78" t="s">
        <v>596</v>
      </c>
      <c r="D74" s="78" t="s">
        <v>622</v>
      </c>
      <c r="E74" s="95" t="s">
        <v>623</v>
      </c>
      <c r="F74" s="80" t="s">
        <v>624</v>
      </c>
      <c r="G74" s="78">
        <v>9.83615714E8</v>
      </c>
      <c r="H74" s="81">
        <v>2674.0</v>
      </c>
      <c r="I74" s="81">
        <v>857.0</v>
      </c>
      <c r="J74" s="81" t="s">
        <v>65</v>
      </c>
      <c r="K74" s="92" t="s">
        <v>625</v>
      </c>
      <c r="L74" s="42" t="s">
        <v>67</v>
      </c>
      <c r="M74" s="82" t="s">
        <v>589</v>
      </c>
      <c r="N74" s="83" t="s">
        <v>590</v>
      </c>
      <c r="O74" s="42" t="s">
        <v>591</v>
      </c>
      <c r="P74" s="84"/>
      <c r="Q74" s="45" t="s">
        <v>67</v>
      </c>
      <c r="R74" s="85">
        <v>1.0</v>
      </c>
      <c r="S74" s="84" t="s">
        <v>67</v>
      </c>
      <c r="T74" s="86"/>
      <c r="U74" s="45"/>
      <c r="V74" s="84" t="s">
        <v>608</v>
      </c>
      <c r="W74" s="94">
        <v>46133.0</v>
      </c>
      <c r="X74" s="88" t="s">
        <v>205</v>
      </c>
      <c r="Y74" s="88" t="s">
        <v>601</v>
      </c>
      <c r="Z74" s="81" t="s">
        <v>602</v>
      </c>
      <c r="AA74" s="45" t="s">
        <v>74</v>
      </c>
      <c r="AB74" s="45" t="s">
        <v>67</v>
      </c>
      <c r="AC74" s="45" t="s">
        <v>86</v>
      </c>
      <c r="AD74" s="51" t="s">
        <v>76</v>
      </c>
      <c r="AE74" s="89"/>
      <c r="AF74" s="84" t="s">
        <v>67</v>
      </c>
      <c r="AG74" s="84"/>
      <c r="AH74" s="45">
        <v>0.0</v>
      </c>
      <c r="AI74" s="45"/>
      <c r="AJ74" s="45"/>
      <c r="AK74" s="45"/>
      <c r="AL74" s="45"/>
      <c r="AM74" s="45"/>
      <c r="AN74" s="45">
        <v>0.0</v>
      </c>
      <c r="AO74" s="90"/>
      <c r="AP74" s="89"/>
      <c r="AQ74" s="89"/>
      <c r="AR74" s="89"/>
      <c r="AS74" s="89"/>
      <c r="AT74" s="89"/>
    </row>
    <row r="75">
      <c r="A75" s="35" t="s">
        <v>626</v>
      </c>
      <c r="B75" s="78" t="s">
        <v>573</v>
      </c>
      <c r="C75" s="78" t="s">
        <v>627</v>
      </c>
      <c r="D75" s="78" t="s">
        <v>628</v>
      </c>
      <c r="E75" s="95" t="s">
        <v>629</v>
      </c>
      <c r="F75" s="80" t="s">
        <v>630</v>
      </c>
      <c r="G75" s="93">
        <v>9.37659023E8</v>
      </c>
      <c r="H75" s="97"/>
      <c r="I75" s="97"/>
      <c r="J75" s="81" t="s">
        <v>224</v>
      </c>
      <c r="K75" s="82" t="s">
        <v>631</v>
      </c>
      <c r="L75" s="42" t="s">
        <v>67</v>
      </c>
      <c r="M75" s="82" t="s">
        <v>589</v>
      </c>
      <c r="N75" s="83" t="s">
        <v>590</v>
      </c>
      <c r="O75" s="42" t="s">
        <v>591</v>
      </c>
      <c r="P75" s="84"/>
      <c r="Q75" s="45" t="s">
        <v>67</v>
      </c>
      <c r="R75" s="85">
        <v>1.0</v>
      </c>
      <c r="S75" s="84" t="s">
        <v>67</v>
      </c>
      <c r="T75" s="93"/>
      <c r="U75" s="45"/>
      <c r="V75" s="84" t="s">
        <v>608</v>
      </c>
      <c r="W75" s="87"/>
      <c r="X75" s="88" t="s">
        <v>205</v>
      </c>
      <c r="Y75" s="88" t="s">
        <v>601</v>
      </c>
      <c r="Z75" s="81" t="s">
        <v>602</v>
      </c>
      <c r="AA75" s="45" t="s">
        <v>74</v>
      </c>
      <c r="AB75" s="45" t="s">
        <v>67</v>
      </c>
      <c r="AC75" s="45" t="s">
        <v>135</v>
      </c>
      <c r="AD75" s="51" t="s">
        <v>76</v>
      </c>
      <c r="AE75" s="89"/>
      <c r="AF75" s="84" t="s">
        <v>67</v>
      </c>
      <c r="AG75" s="84"/>
      <c r="AH75" s="45">
        <v>0.0</v>
      </c>
      <c r="AI75" s="45"/>
      <c r="AJ75" s="45"/>
      <c r="AK75" s="45"/>
      <c r="AL75" s="45"/>
      <c r="AM75" s="45"/>
      <c r="AN75" s="45">
        <v>0.0</v>
      </c>
      <c r="AO75" s="90"/>
      <c r="AP75" s="89"/>
      <c r="AQ75" s="89"/>
      <c r="AR75" s="89"/>
      <c r="AS75" s="89"/>
      <c r="AT75" s="89"/>
    </row>
    <row r="76">
      <c r="A76" s="35" t="s">
        <v>632</v>
      </c>
      <c r="B76" s="78" t="s">
        <v>573</v>
      </c>
      <c r="C76" s="78" t="s">
        <v>627</v>
      </c>
      <c r="D76" s="78" t="s">
        <v>633</v>
      </c>
      <c r="E76" s="95" t="s">
        <v>634</v>
      </c>
      <c r="F76" s="80" t="s">
        <v>635</v>
      </c>
      <c r="G76" s="78">
        <v>9.64854404E8</v>
      </c>
      <c r="H76" s="81"/>
      <c r="I76" s="81"/>
      <c r="J76" s="81" t="s">
        <v>224</v>
      </c>
      <c r="K76" s="92" t="s">
        <v>636</v>
      </c>
      <c r="L76" s="42" t="s">
        <v>67</v>
      </c>
      <c r="M76" s="82" t="s">
        <v>589</v>
      </c>
      <c r="N76" s="83" t="s">
        <v>590</v>
      </c>
      <c r="O76" s="42" t="s">
        <v>591</v>
      </c>
      <c r="P76" s="84"/>
      <c r="Q76" s="45" t="s">
        <v>67</v>
      </c>
      <c r="R76" s="85">
        <v>1.0</v>
      </c>
      <c r="S76" s="84" t="s">
        <v>67</v>
      </c>
      <c r="T76" s="93"/>
      <c r="U76" s="45"/>
      <c r="V76" s="84" t="s">
        <v>608</v>
      </c>
      <c r="W76" s="87"/>
      <c r="X76" s="88" t="s">
        <v>205</v>
      </c>
      <c r="Y76" s="88" t="s">
        <v>601</v>
      </c>
      <c r="Z76" s="81" t="s">
        <v>602</v>
      </c>
      <c r="AA76" s="45" t="s">
        <v>74</v>
      </c>
      <c r="AB76" s="45" t="s">
        <v>67</v>
      </c>
      <c r="AC76" s="45" t="s">
        <v>125</v>
      </c>
      <c r="AD76" s="51" t="s">
        <v>76</v>
      </c>
      <c r="AE76" s="89"/>
      <c r="AF76" s="84" t="s">
        <v>67</v>
      </c>
      <c r="AG76" s="84"/>
      <c r="AH76" s="45">
        <v>0.0</v>
      </c>
      <c r="AI76" s="45"/>
      <c r="AJ76" s="45"/>
      <c r="AK76" s="45"/>
      <c r="AL76" s="45"/>
      <c r="AM76" s="45"/>
      <c r="AN76" s="45">
        <v>0.0</v>
      </c>
      <c r="AO76" s="90"/>
      <c r="AP76" s="89"/>
      <c r="AQ76" s="89"/>
      <c r="AR76" s="89"/>
      <c r="AS76" s="89"/>
      <c r="AT76" s="89"/>
    </row>
    <row r="77">
      <c r="A77" s="35" t="s">
        <v>637</v>
      </c>
      <c r="B77" s="78" t="s">
        <v>573</v>
      </c>
      <c r="C77" s="78" t="s">
        <v>610</v>
      </c>
      <c r="D77" s="78" t="s">
        <v>638</v>
      </c>
      <c r="E77" s="95" t="s">
        <v>639</v>
      </c>
      <c r="F77" s="80" t="s">
        <v>640</v>
      </c>
      <c r="G77" s="78">
        <v>9.72538217E8</v>
      </c>
      <c r="H77" s="81">
        <v>2967.0</v>
      </c>
      <c r="I77" s="81">
        <v>1183.0</v>
      </c>
      <c r="J77" s="81" t="s">
        <v>65</v>
      </c>
      <c r="K77" s="82" t="s">
        <v>641</v>
      </c>
      <c r="L77" s="42" t="s">
        <v>67</v>
      </c>
      <c r="M77" s="82" t="s">
        <v>589</v>
      </c>
      <c r="N77" s="83" t="s">
        <v>590</v>
      </c>
      <c r="O77" s="42" t="s">
        <v>591</v>
      </c>
      <c r="P77" s="84"/>
      <c r="Q77" s="45" t="s">
        <v>67</v>
      </c>
      <c r="R77" s="85">
        <v>1.0</v>
      </c>
      <c r="S77" s="84" t="s">
        <v>67</v>
      </c>
      <c r="T77" s="93"/>
      <c r="U77" s="45"/>
      <c r="V77" s="84" t="s">
        <v>608</v>
      </c>
      <c r="W77" s="87"/>
      <c r="X77" s="88" t="s">
        <v>205</v>
      </c>
      <c r="Y77" s="88" t="s">
        <v>601</v>
      </c>
      <c r="Z77" s="81" t="s">
        <v>602</v>
      </c>
      <c r="AA77" s="45" t="s">
        <v>74</v>
      </c>
      <c r="AB77" s="45" t="s">
        <v>67</v>
      </c>
      <c r="AC77" s="45" t="s">
        <v>195</v>
      </c>
      <c r="AD77" s="51" t="s">
        <v>76</v>
      </c>
      <c r="AE77" s="89"/>
      <c r="AF77" s="84" t="s">
        <v>67</v>
      </c>
      <c r="AG77" s="84"/>
      <c r="AH77" s="45">
        <v>0.0</v>
      </c>
      <c r="AI77" s="45"/>
      <c r="AJ77" s="45"/>
      <c r="AK77" s="45"/>
      <c r="AL77" s="45"/>
      <c r="AM77" s="45"/>
      <c r="AN77" s="45">
        <v>0.0</v>
      </c>
      <c r="AO77" s="90"/>
      <c r="AP77" s="89"/>
      <c r="AQ77" s="89"/>
      <c r="AR77" s="89"/>
      <c r="AS77" s="89"/>
      <c r="AT77" s="89"/>
    </row>
    <row r="78">
      <c r="A78" s="35" t="s">
        <v>642</v>
      </c>
      <c r="B78" s="78" t="s">
        <v>573</v>
      </c>
      <c r="C78" s="78" t="s">
        <v>627</v>
      </c>
      <c r="D78" s="78" t="s">
        <v>643</v>
      </c>
      <c r="E78" s="95" t="s">
        <v>644</v>
      </c>
      <c r="F78" s="80" t="s">
        <v>645</v>
      </c>
      <c r="G78" s="78">
        <v>9.57945976E8</v>
      </c>
      <c r="H78" s="81">
        <v>2675.0</v>
      </c>
      <c r="I78" s="81">
        <v>858.0</v>
      </c>
      <c r="J78" s="81" t="s">
        <v>65</v>
      </c>
      <c r="K78" s="82" t="s">
        <v>646</v>
      </c>
      <c r="L78" s="42" t="s">
        <v>74</v>
      </c>
      <c r="M78" s="82" t="s">
        <v>589</v>
      </c>
      <c r="N78" s="83" t="s">
        <v>590</v>
      </c>
      <c r="O78" s="42" t="s">
        <v>591</v>
      </c>
      <c r="P78" s="84"/>
      <c r="Q78" s="45" t="s">
        <v>67</v>
      </c>
      <c r="R78" s="85">
        <v>1.0</v>
      </c>
      <c r="S78" s="84" t="s">
        <v>67</v>
      </c>
      <c r="T78" s="86"/>
      <c r="U78" s="45"/>
      <c r="V78" s="84" t="s">
        <v>608</v>
      </c>
      <c r="W78" s="87"/>
      <c r="X78" s="88" t="s">
        <v>205</v>
      </c>
      <c r="Y78" s="88" t="s">
        <v>601</v>
      </c>
      <c r="Z78" s="81" t="s">
        <v>602</v>
      </c>
      <c r="AA78" s="45" t="s">
        <v>74</v>
      </c>
      <c r="AB78" s="45" t="s">
        <v>67</v>
      </c>
      <c r="AC78" s="45" t="s">
        <v>306</v>
      </c>
      <c r="AD78" s="51" t="s">
        <v>76</v>
      </c>
      <c r="AE78" s="89"/>
      <c r="AF78" s="84" t="s">
        <v>67</v>
      </c>
      <c r="AG78" s="84"/>
      <c r="AH78" s="45">
        <v>0.0</v>
      </c>
      <c r="AI78" s="45"/>
      <c r="AJ78" s="45"/>
      <c r="AK78" s="45"/>
      <c r="AL78" s="45"/>
      <c r="AM78" s="45"/>
      <c r="AN78" s="45">
        <v>0.0</v>
      </c>
      <c r="AO78" s="90"/>
      <c r="AP78" s="89"/>
      <c r="AQ78" s="89"/>
      <c r="AR78" s="89"/>
      <c r="AS78" s="89"/>
      <c r="AT78" s="89"/>
    </row>
    <row r="79">
      <c r="A79" s="35" t="s">
        <v>647</v>
      </c>
      <c r="B79" s="78" t="s">
        <v>573</v>
      </c>
      <c r="C79" s="78" t="s">
        <v>627</v>
      </c>
      <c r="D79" s="78" t="s">
        <v>648</v>
      </c>
      <c r="E79" s="95" t="s">
        <v>649</v>
      </c>
      <c r="F79" s="80" t="s">
        <v>650</v>
      </c>
      <c r="G79" s="78">
        <v>9.19163223E8</v>
      </c>
      <c r="H79" s="81">
        <v>2993.0</v>
      </c>
      <c r="I79" s="81">
        <v>1174.0</v>
      </c>
      <c r="J79" s="81" t="s">
        <v>65</v>
      </c>
      <c r="K79" s="92" t="s">
        <v>651</v>
      </c>
      <c r="L79" s="42" t="s">
        <v>67</v>
      </c>
      <c r="M79" s="82" t="s">
        <v>589</v>
      </c>
      <c r="N79" s="83" t="s">
        <v>590</v>
      </c>
      <c r="O79" s="42" t="s">
        <v>591</v>
      </c>
      <c r="P79" s="84"/>
      <c r="Q79" s="45" t="s">
        <v>67</v>
      </c>
      <c r="R79" s="85">
        <v>1.0</v>
      </c>
      <c r="S79" s="84" t="s">
        <v>67</v>
      </c>
      <c r="T79" s="86"/>
      <c r="U79" s="45"/>
      <c r="V79" s="84" t="s">
        <v>608</v>
      </c>
      <c r="W79" s="87"/>
      <c r="X79" s="88" t="s">
        <v>205</v>
      </c>
      <c r="Y79" s="88" t="s">
        <v>601</v>
      </c>
      <c r="Z79" s="81" t="s">
        <v>602</v>
      </c>
      <c r="AA79" s="45" t="s">
        <v>74</v>
      </c>
      <c r="AB79" s="45" t="s">
        <v>67</v>
      </c>
      <c r="AC79" s="45" t="s">
        <v>458</v>
      </c>
      <c r="AD79" s="51" t="s">
        <v>76</v>
      </c>
      <c r="AE79" s="89"/>
      <c r="AF79" s="84" t="s">
        <v>67</v>
      </c>
      <c r="AG79" s="84"/>
      <c r="AH79" s="45">
        <v>0.0</v>
      </c>
      <c r="AI79" s="45"/>
      <c r="AJ79" s="45"/>
      <c r="AK79" s="45"/>
      <c r="AL79" s="45"/>
      <c r="AM79" s="45"/>
      <c r="AN79" s="45">
        <v>0.0</v>
      </c>
      <c r="AO79" s="90"/>
      <c r="AP79" s="89"/>
      <c r="AQ79" s="89"/>
      <c r="AR79" s="89"/>
      <c r="AS79" s="89"/>
      <c r="AT79" s="89"/>
    </row>
    <row r="80">
      <c r="A80" s="35" t="s">
        <v>652</v>
      </c>
      <c r="B80" s="78" t="s">
        <v>573</v>
      </c>
      <c r="C80" s="78" t="s">
        <v>653</v>
      </c>
      <c r="D80" s="78" t="s">
        <v>654</v>
      </c>
      <c r="E80" s="95" t="s">
        <v>655</v>
      </c>
      <c r="F80" s="80" t="s">
        <v>656</v>
      </c>
      <c r="G80" s="78">
        <v>9.83600786E8</v>
      </c>
      <c r="H80" s="81">
        <v>2750.0</v>
      </c>
      <c r="I80" s="81">
        <v>847.0</v>
      </c>
      <c r="J80" s="81" t="s">
        <v>65</v>
      </c>
      <c r="K80" s="82" t="s">
        <v>657</v>
      </c>
      <c r="L80" s="42" t="s">
        <v>67</v>
      </c>
      <c r="M80" s="82" t="s">
        <v>658</v>
      </c>
      <c r="N80" s="83" t="s">
        <v>659</v>
      </c>
      <c r="O80" s="92" t="s">
        <v>660</v>
      </c>
      <c r="P80" s="84" t="s">
        <v>67</v>
      </c>
      <c r="Q80" s="84" t="s">
        <v>67</v>
      </c>
      <c r="R80" s="85">
        <v>1.0</v>
      </c>
      <c r="S80" s="84" t="s">
        <v>67</v>
      </c>
      <c r="T80" s="86"/>
      <c r="U80" s="45"/>
      <c r="V80" s="84" t="s">
        <v>608</v>
      </c>
      <c r="W80" s="87"/>
      <c r="X80" s="88" t="s">
        <v>205</v>
      </c>
      <c r="Y80" s="88" t="s">
        <v>601</v>
      </c>
      <c r="Z80" s="81" t="s">
        <v>602</v>
      </c>
      <c r="AA80" s="45" t="s">
        <v>74</v>
      </c>
      <c r="AB80" s="45" t="s">
        <v>67</v>
      </c>
      <c r="AC80" s="45" t="s">
        <v>125</v>
      </c>
      <c r="AD80" s="51" t="s">
        <v>76</v>
      </c>
      <c r="AE80" s="89"/>
      <c r="AF80" s="84" t="s">
        <v>67</v>
      </c>
      <c r="AG80" s="84"/>
      <c r="AH80" s="45">
        <v>0.0</v>
      </c>
      <c r="AI80" s="45"/>
      <c r="AJ80" s="45"/>
      <c r="AK80" s="45"/>
      <c r="AL80" s="45"/>
      <c r="AM80" s="45"/>
      <c r="AN80" s="45">
        <v>0.0</v>
      </c>
      <c r="AO80" s="90"/>
      <c r="AP80" s="89"/>
      <c r="AQ80" s="89"/>
      <c r="AR80" s="89"/>
      <c r="AS80" s="89"/>
      <c r="AT80" s="89"/>
    </row>
    <row r="81">
      <c r="A81" s="35" t="s">
        <v>661</v>
      </c>
      <c r="B81" s="78" t="s">
        <v>573</v>
      </c>
      <c r="C81" s="78" t="s">
        <v>627</v>
      </c>
      <c r="D81" s="78" t="s">
        <v>662</v>
      </c>
      <c r="E81" s="95" t="s">
        <v>663</v>
      </c>
      <c r="F81" s="80" t="s">
        <v>664</v>
      </c>
      <c r="G81" s="78">
        <v>9.74548739E8</v>
      </c>
      <c r="H81" s="81"/>
      <c r="I81" s="81">
        <v>1175.0</v>
      </c>
      <c r="J81" s="81" t="s">
        <v>65</v>
      </c>
      <c r="K81" s="82" t="s">
        <v>665</v>
      </c>
      <c r="L81" s="42" t="s">
        <v>67</v>
      </c>
      <c r="M81" s="82" t="s">
        <v>589</v>
      </c>
      <c r="N81" s="83" t="s">
        <v>590</v>
      </c>
      <c r="O81" s="42" t="s">
        <v>591</v>
      </c>
      <c r="P81" s="84"/>
      <c r="Q81" s="45" t="s">
        <v>67</v>
      </c>
      <c r="R81" s="85">
        <v>1.0</v>
      </c>
      <c r="S81" s="84" t="s">
        <v>67</v>
      </c>
      <c r="T81" s="86"/>
      <c r="U81" s="45"/>
      <c r="V81" s="84" t="s">
        <v>608</v>
      </c>
      <c r="W81" s="87"/>
      <c r="X81" s="88" t="s">
        <v>205</v>
      </c>
      <c r="Y81" s="88" t="s">
        <v>666</v>
      </c>
      <c r="Z81" s="81" t="s">
        <v>602</v>
      </c>
      <c r="AA81" s="45" t="s">
        <v>74</v>
      </c>
      <c r="AB81" s="45" t="s">
        <v>67</v>
      </c>
      <c r="AC81" s="45" t="s">
        <v>86</v>
      </c>
      <c r="AD81" s="51" t="s">
        <v>76</v>
      </c>
      <c r="AE81" s="89"/>
      <c r="AF81" s="84" t="s">
        <v>67</v>
      </c>
      <c r="AG81" s="84"/>
      <c r="AH81" s="45">
        <v>0.0</v>
      </c>
      <c r="AI81" s="45"/>
      <c r="AJ81" s="45"/>
      <c r="AK81" s="45"/>
      <c r="AL81" s="45"/>
      <c r="AM81" s="45"/>
      <c r="AN81" s="45">
        <v>0.0</v>
      </c>
      <c r="AO81" s="90"/>
      <c r="AP81" s="89"/>
      <c r="AQ81" s="89"/>
      <c r="AR81" s="89"/>
      <c r="AS81" s="89"/>
      <c r="AT81" s="89"/>
    </row>
    <row r="82">
      <c r="A82" s="35" t="s">
        <v>667</v>
      </c>
      <c r="B82" s="78" t="s">
        <v>573</v>
      </c>
      <c r="C82" s="78" t="s">
        <v>584</v>
      </c>
      <c r="D82" s="78" t="s">
        <v>668</v>
      </c>
      <c r="E82" s="95" t="s">
        <v>669</v>
      </c>
      <c r="F82" s="80" t="s">
        <v>670</v>
      </c>
      <c r="G82" s="78">
        <v>9.36375379E8</v>
      </c>
      <c r="H82" s="81">
        <v>2676.0</v>
      </c>
      <c r="I82" s="81">
        <v>860.0</v>
      </c>
      <c r="J82" s="81" t="s">
        <v>65</v>
      </c>
      <c r="K82" s="92" t="s">
        <v>671</v>
      </c>
      <c r="L82" s="42" t="s">
        <v>67</v>
      </c>
      <c r="M82" s="82" t="s">
        <v>589</v>
      </c>
      <c r="N82" s="83" t="s">
        <v>590</v>
      </c>
      <c r="O82" s="42" t="s">
        <v>591</v>
      </c>
      <c r="P82" s="84"/>
      <c r="Q82" s="45" t="s">
        <v>67</v>
      </c>
      <c r="R82" s="85">
        <v>1.0</v>
      </c>
      <c r="S82" s="84" t="s">
        <v>67</v>
      </c>
      <c r="T82" s="93"/>
      <c r="U82" s="45"/>
      <c r="V82" s="84" t="s">
        <v>608</v>
      </c>
      <c r="W82" s="94">
        <v>46133.0</v>
      </c>
      <c r="X82" s="88" t="s">
        <v>205</v>
      </c>
      <c r="Y82" s="88" t="s">
        <v>601</v>
      </c>
      <c r="Z82" s="81" t="s">
        <v>602</v>
      </c>
      <c r="AA82" s="45" t="s">
        <v>74</v>
      </c>
      <c r="AB82" s="45" t="s">
        <v>67</v>
      </c>
      <c r="AC82" s="45" t="s">
        <v>195</v>
      </c>
      <c r="AD82" s="51" t="s">
        <v>76</v>
      </c>
      <c r="AE82" s="89"/>
      <c r="AF82" s="84" t="s">
        <v>67</v>
      </c>
      <c r="AG82" s="84"/>
      <c r="AH82" s="45">
        <v>0.0</v>
      </c>
      <c r="AI82" s="45"/>
      <c r="AJ82" s="45"/>
      <c r="AK82" s="45"/>
      <c r="AL82" s="45"/>
      <c r="AM82" s="45"/>
      <c r="AN82" s="45">
        <v>0.0</v>
      </c>
      <c r="AO82" s="90"/>
      <c r="AP82" s="89"/>
      <c r="AQ82" s="89"/>
      <c r="AR82" s="89"/>
      <c r="AS82" s="89"/>
      <c r="AT82" s="89"/>
    </row>
    <row r="83">
      <c r="A83" s="35" t="s">
        <v>672</v>
      </c>
      <c r="B83" s="78" t="s">
        <v>573</v>
      </c>
      <c r="C83" s="78" t="s">
        <v>610</v>
      </c>
      <c r="D83" s="78" t="s">
        <v>673</v>
      </c>
      <c r="E83" s="95" t="s">
        <v>674</v>
      </c>
      <c r="F83" s="80" t="s">
        <v>675</v>
      </c>
      <c r="G83" s="78">
        <v>9.32281694E8</v>
      </c>
      <c r="H83" s="81">
        <v>2806.0</v>
      </c>
      <c r="I83" s="81">
        <v>1186.0</v>
      </c>
      <c r="J83" s="81" t="s">
        <v>65</v>
      </c>
      <c r="K83" s="82" t="s">
        <v>676</v>
      </c>
      <c r="L83" s="42" t="s">
        <v>67</v>
      </c>
      <c r="M83" s="82" t="s">
        <v>589</v>
      </c>
      <c r="N83" s="83" t="s">
        <v>590</v>
      </c>
      <c r="O83" s="42" t="s">
        <v>591</v>
      </c>
      <c r="P83" s="84"/>
      <c r="Q83" s="45" t="s">
        <v>67</v>
      </c>
      <c r="R83" s="85">
        <v>1.0</v>
      </c>
      <c r="S83" s="84" t="s">
        <v>74</v>
      </c>
      <c r="T83" s="93" t="s">
        <v>677</v>
      </c>
      <c r="U83" s="45"/>
      <c r="V83" s="84" t="s">
        <v>608</v>
      </c>
      <c r="W83" s="87"/>
      <c r="X83" s="88" t="s">
        <v>205</v>
      </c>
      <c r="Y83" s="88" t="s">
        <v>666</v>
      </c>
      <c r="Z83" s="81" t="s">
        <v>602</v>
      </c>
      <c r="AA83" s="45" t="s">
        <v>74</v>
      </c>
      <c r="AB83" s="45" t="s">
        <v>67</v>
      </c>
      <c r="AC83" s="45" t="s">
        <v>620</v>
      </c>
      <c r="AD83" s="51" t="s">
        <v>76</v>
      </c>
      <c r="AE83" s="89"/>
      <c r="AF83" s="84" t="s">
        <v>67</v>
      </c>
      <c r="AG83" s="84"/>
      <c r="AH83" s="45">
        <v>0.0</v>
      </c>
      <c r="AI83" s="45"/>
      <c r="AJ83" s="45"/>
      <c r="AK83" s="45"/>
      <c r="AL83" s="45"/>
      <c r="AM83" s="45"/>
      <c r="AN83" s="45">
        <v>0.0</v>
      </c>
      <c r="AO83" s="90"/>
      <c r="AP83" s="89"/>
      <c r="AQ83" s="89"/>
      <c r="AR83" s="89"/>
      <c r="AS83" s="89"/>
      <c r="AT83" s="89"/>
    </row>
    <row r="84">
      <c r="A84" s="35" t="s">
        <v>678</v>
      </c>
      <c r="B84" s="78" t="s">
        <v>679</v>
      </c>
      <c r="C84" s="78" t="s">
        <v>680</v>
      </c>
      <c r="D84" s="78" t="s">
        <v>681</v>
      </c>
      <c r="E84" s="95" t="s">
        <v>682</v>
      </c>
      <c r="F84" s="80" t="s">
        <v>683</v>
      </c>
      <c r="G84" s="78">
        <v>9.50333339E8</v>
      </c>
      <c r="H84" s="81">
        <v>2911.0</v>
      </c>
      <c r="I84" s="81">
        <v>1115.0</v>
      </c>
      <c r="J84" s="81" t="s">
        <v>65</v>
      </c>
      <c r="K84" s="92" t="s">
        <v>684</v>
      </c>
      <c r="L84" s="42" t="s">
        <v>67</v>
      </c>
      <c r="M84" s="82" t="s">
        <v>685</v>
      </c>
      <c r="N84" s="83" t="s">
        <v>686</v>
      </c>
      <c r="O84" s="98" t="s">
        <v>687</v>
      </c>
      <c r="P84" s="84"/>
      <c r="Q84" s="84" t="s">
        <v>67</v>
      </c>
      <c r="R84" s="85">
        <v>2.0</v>
      </c>
      <c r="S84" s="84" t="s">
        <v>67</v>
      </c>
      <c r="T84" s="93"/>
      <c r="U84" s="45"/>
      <c r="V84" s="84" t="s">
        <v>608</v>
      </c>
      <c r="W84" s="87"/>
      <c r="X84" s="88" t="s">
        <v>205</v>
      </c>
      <c r="Y84" s="88" t="s">
        <v>601</v>
      </c>
      <c r="Z84" s="81" t="s">
        <v>602</v>
      </c>
      <c r="AA84" s="45" t="s">
        <v>74</v>
      </c>
      <c r="AB84" s="45" t="s">
        <v>67</v>
      </c>
      <c r="AC84" s="45" t="s">
        <v>306</v>
      </c>
      <c r="AD84" s="51" t="s">
        <v>76</v>
      </c>
      <c r="AE84" s="89"/>
      <c r="AF84" s="84" t="s">
        <v>67</v>
      </c>
      <c r="AG84" s="84"/>
      <c r="AH84" s="45">
        <v>0.0</v>
      </c>
      <c r="AI84" s="45"/>
      <c r="AJ84" s="45"/>
      <c r="AK84" s="45"/>
      <c r="AL84" s="45"/>
      <c r="AM84" s="45"/>
      <c r="AN84" s="45">
        <v>0.0</v>
      </c>
      <c r="AO84" s="90"/>
      <c r="AP84" s="99" t="s">
        <v>688</v>
      </c>
      <c r="AQ84" s="89"/>
      <c r="AR84" s="89"/>
      <c r="AS84" s="89"/>
      <c r="AT84" s="89"/>
    </row>
    <row r="85">
      <c r="A85" s="35" t="s">
        <v>689</v>
      </c>
      <c r="B85" s="78" t="s">
        <v>679</v>
      </c>
      <c r="C85" s="78" t="s">
        <v>690</v>
      </c>
      <c r="D85" s="78" t="s">
        <v>691</v>
      </c>
      <c r="E85" s="95" t="s">
        <v>692</v>
      </c>
      <c r="F85" s="80" t="s">
        <v>693</v>
      </c>
      <c r="G85" s="78">
        <v>9.29816804E8</v>
      </c>
      <c r="H85" s="81">
        <v>2707.0</v>
      </c>
      <c r="I85" s="81">
        <v>1077.0</v>
      </c>
      <c r="J85" s="81" t="s">
        <v>65</v>
      </c>
      <c r="K85" s="82" t="s">
        <v>694</v>
      </c>
      <c r="L85" s="42" t="s">
        <v>67</v>
      </c>
      <c r="M85" s="82" t="s">
        <v>685</v>
      </c>
      <c r="N85" s="83" t="s">
        <v>686</v>
      </c>
      <c r="O85" s="98" t="s">
        <v>687</v>
      </c>
      <c r="P85" s="84"/>
      <c r="Q85" s="84" t="s">
        <v>67</v>
      </c>
      <c r="R85" s="85">
        <v>1.0</v>
      </c>
      <c r="S85" s="84" t="s">
        <v>67</v>
      </c>
      <c r="T85" s="93"/>
      <c r="U85" s="45"/>
      <c r="V85" s="84" t="s">
        <v>608</v>
      </c>
      <c r="W85" s="94">
        <v>46133.0</v>
      </c>
      <c r="X85" s="88" t="s">
        <v>205</v>
      </c>
      <c r="Y85" s="88" t="s">
        <v>601</v>
      </c>
      <c r="Z85" s="81" t="s">
        <v>602</v>
      </c>
      <c r="AA85" s="45" t="s">
        <v>74</v>
      </c>
      <c r="AB85" s="45" t="s">
        <v>67</v>
      </c>
      <c r="AC85" s="45" t="s">
        <v>125</v>
      </c>
      <c r="AD85" s="51" t="s">
        <v>76</v>
      </c>
      <c r="AE85" s="89"/>
      <c r="AF85" s="84" t="s">
        <v>67</v>
      </c>
      <c r="AG85" s="84"/>
      <c r="AH85" s="45">
        <v>0.0</v>
      </c>
      <c r="AI85" s="45"/>
      <c r="AJ85" s="45"/>
      <c r="AK85" s="45"/>
      <c r="AL85" s="45"/>
      <c r="AM85" s="45"/>
      <c r="AN85" s="45">
        <v>0.0</v>
      </c>
      <c r="AO85" s="90"/>
      <c r="AP85" s="99" t="s">
        <v>695</v>
      </c>
      <c r="AQ85" s="89"/>
      <c r="AR85" s="89"/>
      <c r="AS85" s="89"/>
      <c r="AT85" s="89"/>
    </row>
    <row r="86">
      <c r="A86" s="35" t="s">
        <v>696</v>
      </c>
      <c r="B86" s="78" t="s">
        <v>679</v>
      </c>
      <c r="C86" s="78" t="s">
        <v>697</v>
      </c>
      <c r="D86" s="78" t="s">
        <v>698</v>
      </c>
      <c r="E86" s="100" t="s">
        <v>699</v>
      </c>
      <c r="F86" s="80" t="s">
        <v>700</v>
      </c>
      <c r="G86" s="78">
        <v>9.31512207E8</v>
      </c>
      <c r="H86" s="81">
        <v>2952.0</v>
      </c>
      <c r="I86" s="81">
        <v>1074.0</v>
      </c>
      <c r="J86" s="81" t="s">
        <v>65</v>
      </c>
      <c r="K86" s="82" t="s">
        <v>701</v>
      </c>
      <c r="L86" s="42" t="s">
        <v>67</v>
      </c>
      <c r="M86" s="82" t="s">
        <v>685</v>
      </c>
      <c r="N86" s="83" t="s">
        <v>686</v>
      </c>
      <c r="O86" s="98" t="s">
        <v>687</v>
      </c>
      <c r="P86" s="84"/>
      <c r="Q86" s="84" t="s">
        <v>67</v>
      </c>
      <c r="R86" s="85">
        <v>1.0</v>
      </c>
      <c r="S86" s="84" t="s">
        <v>67</v>
      </c>
      <c r="T86" s="93"/>
      <c r="U86" s="45"/>
      <c r="V86" s="84" t="s">
        <v>608</v>
      </c>
      <c r="W86" s="87"/>
      <c r="X86" s="88" t="s">
        <v>205</v>
      </c>
      <c r="Y86" s="88" t="s">
        <v>601</v>
      </c>
      <c r="Z86" s="81" t="s">
        <v>602</v>
      </c>
      <c r="AA86" s="45" t="s">
        <v>74</v>
      </c>
      <c r="AB86" s="45" t="s">
        <v>67</v>
      </c>
      <c r="AC86" s="45" t="s">
        <v>135</v>
      </c>
      <c r="AD86" s="51" t="s">
        <v>76</v>
      </c>
      <c r="AE86" s="89"/>
      <c r="AF86" s="84" t="s">
        <v>67</v>
      </c>
      <c r="AG86" s="84"/>
      <c r="AH86" s="45">
        <v>0.0</v>
      </c>
      <c r="AI86" s="45"/>
      <c r="AJ86" s="45"/>
      <c r="AK86" s="45"/>
      <c r="AL86" s="45"/>
      <c r="AM86" s="45"/>
      <c r="AN86" s="45">
        <v>0.0</v>
      </c>
      <c r="AO86" s="90"/>
      <c r="AP86" s="89"/>
      <c r="AQ86" s="89"/>
      <c r="AR86" s="89"/>
      <c r="AS86" s="89"/>
      <c r="AT86" s="89"/>
    </row>
    <row r="87">
      <c r="A87" s="35" t="s">
        <v>702</v>
      </c>
      <c r="B87" s="78" t="s">
        <v>679</v>
      </c>
      <c r="C87" s="78" t="s">
        <v>680</v>
      </c>
      <c r="D87" s="78" t="s">
        <v>703</v>
      </c>
      <c r="E87" s="100" t="s">
        <v>704</v>
      </c>
      <c r="F87" s="80" t="s">
        <v>705</v>
      </c>
      <c r="G87" s="78">
        <v>9.4549664E8</v>
      </c>
      <c r="H87" s="81">
        <v>2710.0</v>
      </c>
      <c r="I87" s="81">
        <v>1080.0</v>
      </c>
      <c r="J87" s="81" t="s">
        <v>65</v>
      </c>
      <c r="K87" s="92" t="s">
        <v>706</v>
      </c>
      <c r="L87" s="42" t="s">
        <v>74</v>
      </c>
      <c r="M87" s="82" t="s">
        <v>685</v>
      </c>
      <c r="N87" s="83" t="s">
        <v>686</v>
      </c>
      <c r="O87" s="98" t="s">
        <v>687</v>
      </c>
      <c r="P87" s="84"/>
      <c r="Q87" s="84" t="s">
        <v>67</v>
      </c>
      <c r="R87" s="85">
        <v>2.0</v>
      </c>
      <c r="S87" s="84" t="s">
        <v>67</v>
      </c>
      <c r="T87" s="93"/>
      <c r="U87" s="45"/>
      <c r="V87" s="84" t="s">
        <v>608</v>
      </c>
      <c r="W87" s="94">
        <v>46133.0</v>
      </c>
      <c r="X87" s="88" t="s">
        <v>205</v>
      </c>
      <c r="Y87" s="88" t="s">
        <v>601</v>
      </c>
      <c r="Z87" s="81" t="s">
        <v>602</v>
      </c>
      <c r="AA87" s="45" t="s">
        <v>74</v>
      </c>
      <c r="AB87" s="45" t="s">
        <v>67</v>
      </c>
      <c r="AC87" s="45" t="s">
        <v>475</v>
      </c>
      <c r="AD87" s="51" t="s">
        <v>76</v>
      </c>
      <c r="AE87" s="89"/>
      <c r="AF87" s="84" t="s">
        <v>67</v>
      </c>
      <c r="AG87" s="84"/>
      <c r="AH87" s="45">
        <v>0.0</v>
      </c>
      <c r="AI87" s="45"/>
      <c r="AJ87" s="45"/>
      <c r="AK87" s="45"/>
      <c r="AL87" s="45"/>
      <c r="AM87" s="45"/>
      <c r="AN87" s="45">
        <v>0.0</v>
      </c>
      <c r="AO87" s="90"/>
      <c r="AP87" s="89"/>
      <c r="AQ87" s="89"/>
      <c r="AR87" s="89"/>
      <c r="AS87" s="89"/>
      <c r="AT87" s="89"/>
    </row>
    <row r="88">
      <c r="A88" s="35" t="s">
        <v>707</v>
      </c>
      <c r="B88" s="78" t="s">
        <v>679</v>
      </c>
      <c r="C88" s="78" t="s">
        <v>680</v>
      </c>
      <c r="D88" s="78" t="s">
        <v>708</v>
      </c>
      <c r="E88" s="100" t="s">
        <v>709</v>
      </c>
      <c r="F88" s="80" t="s">
        <v>710</v>
      </c>
      <c r="G88" s="78">
        <v>9.76351789E8</v>
      </c>
      <c r="H88" s="81">
        <v>2711.0</v>
      </c>
      <c r="I88" s="81">
        <v>1081.0</v>
      </c>
      <c r="J88" s="81" t="s">
        <v>65</v>
      </c>
      <c r="K88" s="82" t="s">
        <v>711</v>
      </c>
      <c r="L88" s="42" t="s">
        <v>67</v>
      </c>
      <c r="M88" s="82" t="s">
        <v>685</v>
      </c>
      <c r="N88" s="83" t="s">
        <v>686</v>
      </c>
      <c r="O88" s="98" t="s">
        <v>687</v>
      </c>
      <c r="P88" s="84"/>
      <c r="Q88" s="84" t="s">
        <v>67</v>
      </c>
      <c r="R88" s="85">
        <v>2.0</v>
      </c>
      <c r="S88" s="84" t="s">
        <v>67</v>
      </c>
      <c r="T88" s="93"/>
      <c r="U88" s="45"/>
      <c r="V88" s="84" t="s">
        <v>608</v>
      </c>
      <c r="W88" s="94">
        <v>46133.0</v>
      </c>
      <c r="X88" s="88" t="s">
        <v>205</v>
      </c>
      <c r="Y88" s="88" t="s">
        <v>601</v>
      </c>
      <c r="Z88" s="81" t="s">
        <v>602</v>
      </c>
      <c r="AA88" s="45" t="s">
        <v>74</v>
      </c>
      <c r="AB88" s="45" t="s">
        <v>67</v>
      </c>
      <c r="AC88" s="45" t="s">
        <v>306</v>
      </c>
      <c r="AD88" s="51" t="s">
        <v>76</v>
      </c>
      <c r="AE88" s="89"/>
      <c r="AF88" s="84" t="s">
        <v>67</v>
      </c>
      <c r="AG88" s="84"/>
      <c r="AH88" s="45">
        <v>0.0</v>
      </c>
      <c r="AI88" s="45"/>
      <c r="AJ88" s="45"/>
      <c r="AK88" s="45"/>
      <c r="AL88" s="45"/>
      <c r="AM88" s="45"/>
      <c r="AN88" s="45">
        <v>0.0</v>
      </c>
      <c r="AO88" s="90"/>
      <c r="AP88" s="99" t="s">
        <v>712</v>
      </c>
      <c r="AQ88" s="89"/>
      <c r="AR88" s="89"/>
      <c r="AS88" s="89"/>
      <c r="AT88" s="89"/>
    </row>
    <row r="89">
      <c r="A89" s="35" t="s">
        <v>713</v>
      </c>
      <c r="B89" s="78" t="s">
        <v>679</v>
      </c>
      <c r="C89" s="78" t="s">
        <v>680</v>
      </c>
      <c r="D89" s="78" t="s">
        <v>680</v>
      </c>
      <c r="E89" s="100" t="s">
        <v>714</v>
      </c>
      <c r="F89" s="80" t="s">
        <v>715</v>
      </c>
      <c r="G89" s="78">
        <v>9.25326197E8</v>
      </c>
      <c r="H89" s="81">
        <v>2712.0</v>
      </c>
      <c r="I89" s="81">
        <v>1082.0</v>
      </c>
      <c r="J89" s="81" t="s">
        <v>65</v>
      </c>
      <c r="K89" s="82" t="s">
        <v>716</v>
      </c>
      <c r="L89" s="42" t="s">
        <v>67</v>
      </c>
      <c r="M89" s="82" t="s">
        <v>685</v>
      </c>
      <c r="N89" s="83" t="s">
        <v>686</v>
      </c>
      <c r="O89" s="98" t="s">
        <v>687</v>
      </c>
      <c r="P89" s="84" t="s">
        <v>67</v>
      </c>
      <c r="Q89" s="84" t="s">
        <v>67</v>
      </c>
      <c r="R89" s="85">
        <v>2.0</v>
      </c>
      <c r="S89" s="84" t="s">
        <v>67</v>
      </c>
      <c r="T89" s="93"/>
      <c r="U89" s="45"/>
      <c r="V89" s="84" t="s">
        <v>608</v>
      </c>
      <c r="W89" s="87"/>
      <c r="X89" s="88" t="s">
        <v>205</v>
      </c>
      <c r="Y89" s="88" t="s">
        <v>601</v>
      </c>
      <c r="Z89" s="81" t="s">
        <v>602</v>
      </c>
      <c r="AA89" s="45" t="s">
        <v>74</v>
      </c>
      <c r="AB89" s="45" t="s">
        <v>67</v>
      </c>
      <c r="AC89" s="45" t="s">
        <v>287</v>
      </c>
      <c r="AD89" s="51" t="s">
        <v>76</v>
      </c>
      <c r="AE89" s="89"/>
      <c r="AF89" s="84" t="s">
        <v>67</v>
      </c>
      <c r="AG89" s="84"/>
      <c r="AH89" s="45">
        <v>0.0</v>
      </c>
      <c r="AI89" s="45"/>
      <c r="AJ89" s="45"/>
      <c r="AK89" s="45"/>
      <c r="AL89" s="45"/>
      <c r="AM89" s="45"/>
      <c r="AN89" s="45">
        <v>0.0</v>
      </c>
      <c r="AO89" s="90"/>
      <c r="AP89" s="99" t="s">
        <v>717</v>
      </c>
      <c r="AQ89" s="89"/>
      <c r="AR89" s="89"/>
      <c r="AS89" s="89"/>
      <c r="AT89" s="89"/>
    </row>
    <row r="90">
      <c r="A90" s="35" t="s">
        <v>718</v>
      </c>
      <c r="B90" s="78" t="s">
        <v>679</v>
      </c>
      <c r="C90" s="78" t="s">
        <v>690</v>
      </c>
      <c r="D90" s="78" t="s">
        <v>719</v>
      </c>
      <c r="E90" s="100" t="s">
        <v>720</v>
      </c>
      <c r="F90" s="80" t="s">
        <v>721</v>
      </c>
      <c r="G90" s="78">
        <v>9.60376481E8</v>
      </c>
      <c r="H90" s="81">
        <v>2708.0</v>
      </c>
      <c r="I90" s="81">
        <v>1078.0</v>
      </c>
      <c r="J90" s="81" t="s">
        <v>65</v>
      </c>
      <c r="K90" s="92" t="s">
        <v>722</v>
      </c>
      <c r="L90" s="42" t="s">
        <v>67</v>
      </c>
      <c r="M90" s="82" t="s">
        <v>685</v>
      </c>
      <c r="N90" s="83" t="s">
        <v>686</v>
      </c>
      <c r="O90" s="98" t="s">
        <v>687</v>
      </c>
      <c r="P90" s="84"/>
      <c r="Q90" s="84" t="s">
        <v>67</v>
      </c>
      <c r="R90" s="85">
        <v>1.0</v>
      </c>
      <c r="S90" s="84" t="s">
        <v>67</v>
      </c>
      <c r="T90" s="86"/>
      <c r="U90" s="45"/>
      <c r="V90" s="84" t="s">
        <v>608</v>
      </c>
      <c r="W90" s="87"/>
      <c r="X90" s="88" t="s">
        <v>205</v>
      </c>
      <c r="Y90" s="88" t="s">
        <v>601</v>
      </c>
      <c r="Z90" s="81" t="s">
        <v>602</v>
      </c>
      <c r="AA90" s="45" t="s">
        <v>74</v>
      </c>
      <c r="AB90" s="45" t="s">
        <v>67</v>
      </c>
      <c r="AC90" s="45" t="s">
        <v>306</v>
      </c>
      <c r="AD90" s="51" t="s">
        <v>76</v>
      </c>
      <c r="AE90" s="89"/>
      <c r="AF90" s="84" t="s">
        <v>67</v>
      </c>
      <c r="AG90" s="84"/>
      <c r="AH90" s="45">
        <v>0.0</v>
      </c>
      <c r="AI90" s="45"/>
      <c r="AJ90" s="45"/>
      <c r="AK90" s="45"/>
      <c r="AL90" s="45"/>
      <c r="AM90" s="45"/>
      <c r="AN90" s="45">
        <v>0.0</v>
      </c>
      <c r="AO90" s="90"/>
      <c r="AP90" s="99" t="s">
        <v>723</v>
      </c>
      <c r="AQ90" s="89"/>
      <c r="AR90" s="89"/>
      <c r="AS90" s="89"/>
      <c r="AT90" s="89"/>
    </row>
    <row r="91">
      <c r="A91" s="35" t="s">
        <v>724</v>
      </c>
      <c r="B91" s="78" t="s">
        <v>679</v>
      </c>
      <c r="C91" s="78" t="s">
        <v>725</v>
      </c>
      <c r="D91" s="78" t="s">
        <v>726</v>
      </c>
      <c r="E91" s="100" t="s">
        <v>727</v>
      </c>
      <c r="F91" s="80" t="s">
        <v>728</v>
      </c>
      <c r="G91" s="78">
        <v>9.41938438E8</v>
      </c>
      <c r="H91" s="81">
        <v>2910.0</v>
      </c>
      <c r="I91" s="81">
        <v>1114.0</v>
      </c>
      <c r="J91" s="81" t="s">
        <v>65</v>
      </c>
      <c r="K91" s="82" t="s">
        <v>729</v>
      </c>
      <c r="L91" s="42" t="s">
        <v>74</v>
      </c>
      <c r="M91" s="82" t="s">
        <v>685</v>
      </c>
      <c r="N91" s="83" t="s">
        <v>686</v>
      </c>
      <c r="O91" s="98" t="s">
        <v>687</v>
      </c>
      <c r="P91" s="84"/>
      <c r="Q91" s="84" t="s">
        <v>67</v>
      </c>
      <c r="R91" s="85">
        <v>2.0</v>
      </c>
      <c r="S91" s="84" t="s">
        <v>67</v>
      </c>
      <c r="T91" s="93"/>
      <c r="U91" s="45"/>
      <c r="V91" s="84" t="s">
        <v>608</v>
      </c>
      <c r="W91" s="87"/>
      <c r="X91" s="88" t="s">
        <v>205</v>
      </c>
      <c r="Y91" s="88" t="s">
        <v>601</v>
      </c>
      <c r="Z91" s="81" t="s">
        <v>602</v>
      </c>
      <c r="AA91" s="45" t="s">
        <v>74</v>
      </c>
      <c r="AB91" s="45" t="s">
        <v>67</v>
      </c>
      <c r="AC91" s="45" t="s">
        <v>96</v>
      </c>
      <c r="AD91" s="51" t="s">
        <v>76</v>
      </c>
      <c r="AE91" s="89"/>
      <c r="AF91" s="84" t="s">
        <v>67</v>
      </c>
      <c r="AG91" s="84"/>
      <c r="AH91" s="45">
        <v>0.0</v>
      </c>
      <c r="AI91" s="45"/>
      <c r="AJ91" s="45"/>
      <c r="AK91" s="45"/>
      <c r="AL91" s="45"/>
      <c r="AM91" s="45"/>
      <c r="AN91" s="45">
        <v>0.0</v>
      </c>
      <c r="AO91" s="90"/>
      <c r="AP91" s="89"/>
      <c r="AQ91" s="89"/>
      <c r="AR91" s="89"/>
      <c r="AS91" s="89"/>
      <c r="AT91" s="89"/>
    </row>
    <row r="92">
      <c r="A92" s="35" t="s">
        <v>730</v>
      </c>
      <c r="B92" s="78" t="s">
        <v>679</v>
      </c>
      <c r="C92" s="78" t="s">
        <v>731</v>
      </c>
      <c r="D92" s="78" t="s">
        <v>732</v>
      </c>
      <c r="E92" s="100" t="s">
        <v>733</v>
      </c>
      <c r="F92" s="80" t="s">
        <v>734</v>
      </c>
      <c r="G92" s="78">
        <v>9.45947775E8</v>
      </c>
      <c r="H92" s="81">
        <v>2980.0</v>
      </c>
      <c r="I92" s="81">
        <v>1090.0</v>
      </c>
      <c r="J92" s="81" t="s">
        <v>65</v>
      </c>
      <c r="K92" s="92" t="s">
        <v>735</v>
      </c>
      <c r="L92" s="42" t="s">
        <v>67</v>
      </c>
      <c r="M92" s="82" t="s">
        <v>685</v>
      </c>
      <c r="N92" s="83" t="s">
        <v>686</v>
      </c>
      <c r="O92" s="98" t="s">
        <v>687</v>
      </c>
      <c r="P92" s="84"/>
      <c r="Q92" s="84" t="s">
        <v>67</v>
      </c>
      <c r="R92" s="85">
        <v>2.0</v>
      </c>
      <c r="S92" s="84" t="s">
        <v>67</v>
      </c>
      <c r="T92" s="93"/>
      <c r="U92" s="45"/>
      <c r="V92" s="84" t="s">
        <v>608</v>
      </c>
      <c r="W92" s="87"/>
      <c r="X92" s="88" t="s">
        <v>205</v>
      </c>
      <c r="Y92" s="88" t="s">
        <v>601</v>
      </c>
      <c r="Z92" s="81" t="s">
        <v>602</v>
      </c>
      <c r="AA92" s="45" t="s">
        <v>74</v>
      </c>
      <c r="AB92" s="45" t="s">
        <v>67</v>
      </c>
      <c r="AC92" s="45" t="s">
        <v>135</v>
      </c>
      <c r="AD92" s="51" t="s">
        <v>76</v>
      </c>
      <c r="AE92" s="89"/>
      <c r="AF92" s="84" t="s">
        <v>67</v>
      </c>
      <c r="AG92" s="84"/>
      <c r="AH92" s="45">
        <v>0.0</v>
      </c>
      <c r="AI92" s="45"/>
      <c r="AJ92" s="45"/>
      <c r="AK92" s="45"/>
      <c r="AL92" s="45"/>
      <c r="AM92" s="45"/>
      <c r="AN92" s="45">
        <v>0.0</v>
      </c>
      <c r="AO92" s="90"/>
      <c r="AP92" s="89"/>
      <c r="AQ92" s="89"/>
      <c r="AR92" s="89"/>
      <c r="AS92" s="89"/>
      <c r="AT92" s="89"/>
    </row>
    <row r="93">
      <c r="A93" s="35" t="s">
        <v>736</v>
      </c>
      <c r="B93" s="78" t="s">
        <v>679</v>
      </c>
      <c r="C93" s="78" t="s">
        <v>690</v>
      </c>
      <c r="D93" s="78" t="s">
        <v>737</v>
      </c>
      <c r="E93" s="100" t="s">
        <v>738</v>
      </c>
      <c r="F93" s="80" t="s">
        <v>739</v>
      </c>
      <c r="G93" s="78">
        <v>9.30993352E8</v>
      </c>
      <c r="H93" s="81">
        <v>2709.0</v>
      </c>
      <c r="I93" s="81">
        <v>1079.0</v>
      </c>
      <c r="J93" s="81" t="s">
        <v>65</v>
      </c>
      <c r="K93" s="82" t="s">
        <v>740</v>
      </c>
      <c r="L93" s="42" t="s">
        <v>67</v>
      </c>
      <c r="M93" s="82" t="s">
        <v>685</v>
      </c>
      <c r="N93" s="83" t="s">
        <v>686</v>
      </c>
      <c r="O93" s="98" t="s">
        <v>687</v>
      </c>
      <c r="P93" s="84"/>
      <c r="Q93" s="84" t="s">
        <v>67</v>
      </c>
      <c r="R93" s="85">
        <v>1.0</v>
      </c>
      <c r="S93" s="84" t="s">
        <v>67</v>
      </c>
      <c r="T93" s="86"/>
      <c r="U93" s="45"/>
      <c r="V93" s="84" t="s">
        <v>608</v>
      </c>
      <c r="W93" s="94">
        <v>46133.0</v>
      </c>
      <c r="X93" s="88" t="s">
        <v>205</v>
      </c>
      <c r="Y93" s="88" t="s">
        <v>601</v>
      </c>
      <c r="Z93" s="81" t="s">
        <v>602</v>
      </c>
      <c r="AA93" s="45" t="s">
        <v>74</v>
      </c>
      <c r="AB93" s="45" t="s">
        <v>67</v>
      </c>
      <c r="AC93" s="45" t="s">
        <v>458</v>
      </c>
      <c r="AD93" s="51" t="s">
        <v>76</v>
      </c>
      <c r="AE93" s="89"/>
      <c r="AF93" s="84" t="s">
        <v>67</v>
      </c>
      <c r="AG93" s="84"/>
      <c r="AH93" s="45">
        <v>0.0</v>
      </c>
      <c r="AI93" s="45"/>
      <c r="AJ93" s="45"/>
      <c r="AK93" s="45"/>
      <c r="AL93" s="45"/>
      <c r="AM93" s="45"/>
      <c r="AN93" s="45">
        <v>0.0</v>
      </c>
      <c r="AO93" s="90"/>
      <c r="AP93" s="89"/>
      <c r="AQ93" s="89"/>
      <c r="AR93" s="89"/>
      <c r="AS93" s="89"/>
      <c r="AT93" s="89"/>
    </row>
    <row r="94">
      <c r="A94" s="35" t="s">
        <v>741</v>
      </c>
      <c r="B94" s="78" t="s">
        <v>679</v>
      </c>
      <c r="C94" s="78" t="s">
        <v>680</v>
      </c>
      <c r="D94" s="78" t="s">
        <v>742</v>
      </c>
      <c r="E94" s="100" t="s">
        <v>743</v>
      </c>
      <c r="F94" s="80" t="s">
        <v>744</v>
      </c>
      <c r="G94" s="78">
        <v>9.86259501E8</v>
      </c>
      <c r="H94" s="81">
        <v>2781.0</v>
      </c>
      <c r="I94" s="81">
        <v>1119.0</v>
      </c>
      <c r="J94" s="81" t="s">
        <v>65</v>
      </c>
      <c r="K94" s="82" t="s">
        <v>745</v>
      </c>
      <c r="L94" s="42" t="s">
        <v>67</v>
      </c>
      <c r="M94" s="82" t="s">
        <v>685</v>
      </c>
      <c r="N94" s="83" t="s">
        <v>686</v>
      </c>
      <c r="O94" s="98" t="s">
        <v>687</v>
      </c>
      <c r="P94" s="84"/>
      <c r="Q94" s="84" t="s">
        <v>67</v>
      </c>
      <c r="R94" s="85">
        <v>1.0</v>
      </c>
      <c r="S94" s="84" t="s">
        <v>67</v>
      </c>
      <c r="T94" s="93"/>
      <c r="U94" s="45"/>
      <c r="V94" s="84" t="s">
        <v>608</v>
      </c>
      <c r="W94" s="87"/>
      <c r="X94" s="88" t="s">
        <v>205</v>
      </c>
      <c r="Y94" s="88" t="s">
        <v>601</v>
      </c>
      <c r="Z94" s="81" t="s">
        <v>602</v>
      </c>
      <c r="AA94" s="45" t="s">
        <v>74</v>
      </c>
      <c r="AB94" s="45" t="s">
        <v>67</v>
      </c>
      <c r="AC94" s="45" t="s">
        <v>96</v>
      </c>
      <c r="AD94" s="51" t="s">
        <v>76</v>
      </c>
      <c r="AE94" s="89"/>
      <c r="AF94" s="84" t="s">
        <v>67</v>
      </c>
      <c r="AG94" s="84"/>
      <c r="AH94" s="45">
        <v>0.0</v>
      </c>
      <c r="AI94" s="45"/>
      <c r="AJ94" s="45"/>
      <c r="AK94" s="45"/>
      <c r="AL94" s="45"/>
      <c r="AM94" s="45"/>
      <c r="AN94" s="45">
        <v>0.0</v>
      </c>
      <c r="AO94" s="90"/>
      <c r="AP94" s="89"/>
      <c r="AQ94" s="89"/>
      <c r="AR94" s="89"/>
      <c r="AS94" s="89"/>
      <c r="AT94" s="89"/>
    </row>
    <row r="95">
      <c r="A95" s="35" t="s">
        <v>746</v>
      </c>
      <c r="B95" s="78" t="s">
        <v>679</v>
      </c>
      <c r="C95" s="78" t="s">
        <v>697</v>
      </c>
      <c r="D95" s="78" t="s">
        <v>747</v>
      </c>
      <c r="E95" s="100" t="s">
        <v>748</v>
      </c>
      <c r="F95" s="80" t="s">
        <v>749</v>
      </c>
      <c r="G95" s="78">
        <v>9.40027303E8</v>
      </c>
      <c r="H95" s="81">
        <v>2918.0</v>
      </c>
      <c r="I95" s="81">
        <v>1075.0</v>
      </c>
      <c r="J95" s="81" t="s">
        <v>65</v>
      </c>
      <c r="K95" s="92" t="s">
        <v>750</v>
      </c>
      <c r="L95" s="42" t="s">
        <v>67</v>
      </c>
      <c r="M95" s="82" t="s">
        <v>685</v>
      </c>
      <c r="N95" s="83" t="s">
        <v>686</v>
      </c>
      <c r="O95" s="98" t="s">
        <v>687</v>
      </c>
      <c r="P95" s="84"/>
      <c r="Q95" s="84" t="s">
        <v>67</v>
      </c>
      <c r="R95" s="85">
        <v>1.0</v>
      </c>
      <c r="S95" s="84" t="s">
        <v>67</v>
      </c>
      <c r="T95" s="86"/>
      <c r="U95" s="45"/>
      <c r="V95" s="84" t="s">
        <v>608</v>
      </c>
      <c r="W95" s="87"/>
      <c r="X95" s="88" t="s">
        <v>205</v>
      </c>
      <c r="Y95" s="88" t="s">
        <v>601</v>
      </c>
      <c r="Z95" s="81" t="s">
        <v>602</v>
      </c>
      <c r="AA95" s="45" t="s">
        <v>67</v>
      </c>
      <c r="AB95" s="45" t="s">
        <v>67</v>
      </c>
      <c r="AC95" s="45" t="s">
        <v>195</v>
      </c>
      <c r="AD95" s="51" t="s">
        <v>76</v>
      </c>
      <c r="AE95" s="89"/>
      <c r="AF95" s="84" t="s">
        <v>67</v>
      </c>
      <c r="AG95" s="84"/>
      <c r="AH95" s="45">
        <v>0.0</v>
      </c>
      <c r="AI95" s="45"/>
      <c r="AJ95" s="45"/>
      <c r="AK95" s="45"/>
      <c r="AL95" s="45"/>
      <c r="AM95" s="45"/>
      <c r="AN95" s="45">
        <v>0.0</v>
      </c>
      <c r="AO95" s="90"/>
      <c r="AP95" s="89"/>
      <c r="AQ95" s="89"/>
      <c r="AR95" s="89"/>
      <c r="AS95" s="89"/>
      <c r="AT95" s="89"/>
    </row>
    <row r="96">
      <c r="A96" s="35" t="s">
        <v>751</v>
      </c>
      <c r="B96" s="78" t="s">
        <v>679</v>
      </c>
      <c r="C96" s="78" t="s">
        <v>725</v>
      </c>
      <c r="D96" s="78" t="s">
        <v>752</v>
      </c>
      <c r="E96" s="100" t="s">
        <v>753</v>
      </c>
      <c r="F96" s="80" t="s">
        <v>754</v>
      </c>
      <c r="G96" s="78">
        <v>9.86778368E8</v>
      </c>
      <c r="H96" s="81">
        <v>2982.0</v>
      </c>
      <c r="I96" s="81">
        <v>1092.0</v>
      </c>
      <c r="J96" s="81" t="s">
        <v>65</v>
      </c>
      <c r="K96" s="82" t="s">
        <v>755</v>
      </c>
      <c r="L96" s="42" t="s">
        <v>74</v>
      </c>
      <c r="M96" s="82" t="s">
        <v>685</v>
      </c>
      <c r="N96" s="83" t="s">
        <v>686</v>
      </c>
      <c r="O96" s="98" t="s">
        <v>687</v>
      </c>
      <c r="P96" s="84"/>
      <c r="Q96" s="84" t="s">
        <v>67</v>
      </c>
      <c r="R96" s="85">
        <v>2.0</v>
      </c>
      <c r="S96" s="84" t="s">
        <v>67</v>
      </c>
      <c r="T96" s="93"/>
      <c r="U96" s="45"/>
      <c r="V96" s="84"/>
      <c r="W96" s="87"/>
      <c r="X96" s="88" t="s">
        <v>205</v>
      </c>
      <c r="Y96" s="88" t="s">
        <v>601</v>
      </c>
      <c r="Z96" s="81" t="s">
        <v>602</v>
      </c>
      <c r="AA96" s="45" t="s">
        <v>74</v>
      </c>
      <c r="AB96" s="45" t="s">
        <v>67</v>
      </c>
      <c r="AC96" s="45" t="s">
        <v>620</v>
      </c>
      <c r="AD96" s="51" t="s">
        <v>76</v>
      </c>
      <c r="AE96" s="89"/>
      <c r="AF96" s="84" t="s">
        <v>67</v>
      </c>
      <c r="AG96" s="84"/>
      <c r="AH96" s="45">
        <v>0.0</v>
      </c>
      <c r="AI96" s="45"/>
      <c r="AJ96" s="45"/>
      <c r="AK96" s="45"/>
      <c r="AL96" s="45"/>
      <c r="AM96" s="45"/>
      <c r="AN96" s="45">
        <v>0.0</v>
      </c>
      <c r="AO96" s="90"/>
      <c r="AP96" s="99" t="s">
        <v>756</v>
      </c>
      <c r="AQ96" s="89"/>
      <c r="AR96" s="89"/>
      <c r="AS96" s="89"/>
      <c r="AT96" s="89"/>
    </row>
    <row r="97">
      <c r="A97" s="35" t="s">
        <v>757</v>
      </c>
      <c r="B97" s="78" t="s">
        <v>679</v>
      </c>
      <c r="C97" s="78" t="s">
        <v>680</v>
      </c>
      <c r="D97" s="78" t="s">
        <v>758</v>
      </c>
      <c r="E97" s="100" t="s">
        <v>759</v>
      </c>
      <c r="F97" s="80" t="s">
        <v>760</v>
      </c>
      <c r="G97" s="78">
        <v>9.81876899E8</v>
      </c>
      <c r="H97" s="81">
        <v>2783.0</v>
      </c>
      <c r="I97" s="81">
        <v>1121.0</v>
      </c>
      <c r="J97" s="81" t="s">
        <v>65</v>
      </c>
      <c r="K97" s="82" t="s">
        <v>761</v>
      </c>
      <c r="L97" s="42" t="s">
        <v>67</v>
      </c>
      <c r="M97" s="82" t="s">
        <v>685</v>
      </c>
      <c r="N97" s="83" t="s">
        <v>686</v>
      </c>
      <c r="O97" s="98" t="s">
        <v>687</v>
      </c>
      <c r="P97" s="84"/>
      <c r="Q97" s="84" t="s">
        <v>67</v>
      </c>
      <c r="R97" s="85">
        <v>2.0</v>
      </c>
      <c r="S97" s="84" t="s">
        <v>67</v>
      </c>
      <c r="T97" s="93"/>
      <c r="U97" s="45"/>
      <c r="V97" s="84"/>
      <c r="W97" s="87"/>
      <c r="X97" s="88" t="s">
        <v>205</v>
      </c>
      <c r="Y97" s="88" t="s">
        <v>601</v>
      </c>
      <c r="Z97" s="81" t="s">
        <v>602</v>
      </c>
      <c r="AA97" s="45" t="s">
        <v>74</v>
      </c>
      <c r="AB97" s="45" t="s">
        <v>67</v>
      </c>
      <c r="AC97" s="45" t="s">
        <v>135</v>
      </c>
      <c r="AD97" s="51" t="s">
        <v>76</v>
      </c>
      <c r="AE97" s="89"/>
      <c r="AF97" s="84" t="s">
        <v>67</v>
      </c>
      <c r="AG97" s="84"/>
      <c r="AH97" s="45">
        <v>0.0</v>
      </c>
      <c r="AI97" s="45"/>
      <c r="AJ97" s="45"/>
      <c r="AK97" s="45"/>
      <c r="AL97" s="45"/>
      <c r="AM97" s="45"/>
      <c r="AN97" s="45">
        <v>0.0</v>
      </c>
      <c r="AO97" s="90"/>
      <c r="AP97" s="99"/>
      <c r="AQ97" s="89"/>
      <c r="AR97" s="89"/>
      <c r="AS97" s="89"/>
      <c r="AT97" s="89"/>
    </row>
    <row r="98">
      <c r="A98" s="35" t="s">
        <v>762</v>
      </c>
      <c r="B98" s="78" t="s">
        <v>679</v>
      </c>
      <c r="C98" s="78" t="s">
        <v>697</v>
      </c>
      <c r="D98" s="78" t="s">
        <v>763</v>
      </c>
      <c r="E98" s="100" t="s">
        <v>764</v>
      </c>
      <c r="F98" s="80" t="s">
        <v>765</v>
      </c>
      <c r="G98" s="78">
        <v>9.73655625E8</v>
      </c>
      <c r="H98" s="81">
        <v>2782.0</v>
      </c>
      <c r="I98" s="81">
        <v>1120.0</v>
      </c>
      <c r="J98" s="81" t="s">
        <v>65</v>
      </c>
      <c r="K98" s="92" t="s">
        <v>766</v>
      </c>
      <c r="L98" s="42" t="s">
        <v>67</v>
      </c>
      <c r="M98" s="82" t="s">
        <v>685</v>
      </c>
      <c r="N98" s="83" t="s">
        <v>686</v>
      </c>
      <c r="O98" s="98" t="s">
        <v>687</v>
      </c>
      <c r="P98" s="84"/>
      <c r="Q98" s="84" t="s">
        <v>67</v>
      </c>
      <c r="R98" s="85">
        <v>1.0</v>
      </c>
      <c r="S98" s="84" t="s">
        <v>67</v>
      </c>
      <c r="T98" s="86"/>
      <c r="U98" s="45"/>
      <c r="V98" s="84" t="s">
        <v>608</v>
      </c>
      <c r="W98" s="94">
        <v>46133.0</v>
      </c>
      <c r="X98" s="88" t="s">
        <v>205</v>
      </c>
      <c r="Y98" s="88" t="s">
        <v>601</v>
      </c>
      <c r="Z98" s="81" t="s">
        <v>602</v>
      </c>
      <c r="AA98" s="45" t="s">
        <v>74</v>
      </c>
      <c r="AB98" s="45" t="s">
        <v>67</v>
      </c>
      <c r="AC98" s="45" t="s">
        <v>86</v>
      </c>
      <c r="AD98" s="51" t="s">
        <v>76</v>
      </c>
      <c r="AE98" s="89"/>
      <c r="AF98" s="84" t="s">
        <v>67</v>
      </c>
      <c r="AG98" s="84"/>
      <c r="AH98" s="45">
        <v>0.0</v>
      </c>
      <c r="AI98" s="45"/>
      <c r="AJ98" s="45"/>
      <c r="AK98" s="45"/>
      <c r="AL98" s="45"/>
      <c r="AM98" s="45"/>
      <c r="AN98" s="45">
        <v>0.0</v>
      </c>
      <c r="AO98" s="90"/>
      <c r="AP98" s="89"/>
      <c r="AQ98" s="89"/>
      <c r="AR98" s="89"/>
      <c r="AS98" s="89"/>
      <c r="AT98" s="89"/>
    </row>
    <row r="99">
      <c r="A99" s="35" t="s">
        <v>767</v>
      </c>
      <c r="B99" s="78" t="s">
        <v>679</v>
      </c>
      <c r="C99" s="78" t="s">
        <v>680</v>
      </c>
      <c r="D99" s="78" t="s">
        <v>768</v>
      </c>
      <c r="E99" s="100" t="s">
        <v>769</v>
      </c>
      <c r="F99" s="80" t="s">
        <v>770</v>
      </c>
      <c r="G99" s="78">
        <v>9.92912553E8</v>
      </c>
      <c r="H99" s="81">
        <v>2713.0</v>
      </c>
      <c r="I99" s="81">
        <v>1083.0</v>
      </c>
      <c r="J99" s="81" t="s">
        <v>65</v>
      </c>
      <c r="K99" s="82" t="s">
        <v>771</v>
      </c>
      <c r="L99" s="42" t="s">
        <v>67</v>
      </c>
      <c r="M99" s="82" t="s">
        <v>685</v>
      </c>
      <c r="N99" s="83" t="s">
        <v>686</v>
      </c>
      <c r="O99" s="98" t="s">
        <v>687</v>
      </c>
      <c r="P99" s="84"/>
      <c r="Q99" s="84" t="s">
        <v>67</v>
      </c>
      <c r="R99" s="85">
        <v>2.0</v>
      </c>
      <c r="S99" s="84" t="s">
        <v>67</v>
      </c>
      <c r="T99" s="93"/>
      <c r="U99" s="45"/>
      <c r="V99" s="84" t="s">
        <v>608</v>
      </c>
      <c r="W99" s="94">
        <v>46133.0</v>
      </c>
      <c r="X99" s="88" t="s">
        <v>205</v>
      </c>
      <c r="Y99" s="88" t="s">
        <v>601</v>
      </c>
      <c r="Z99" s="81" t="s">
        <v>602</v>
      </c>
      <c r="AA99" s="45" t="s">
        <v>74</v>
      </c>
      <c r="AB99" s="45" t="s">
        <v>67</v>
      </c>
      <c r="AC99" s="45" t="s">
        <v>458</v>
      </c>
      <c r="AD99" s="51" t="s">
        <v>76</v>
      </c>
      <c r="AE99" s="89"/>
      <c r="AF99" s="84" t="s">
        <v>67</v>
      </c>
      <c r="AG99" s="84"/>
      <c r="AH99" s="45">
        <v>0.0</v>
      </c>
      <c r="AI99" s="45"/>
      <c r="AJ99" s="45"/>
      <c r="AK99" s="45"/>
      <c r="AL99" s="45"/>
      <c r="AM99" s="45"/>
      <c r="AN99" s="45">
        <v>0.0</v>
      </c>
      <c r="AO99" s="90"/>
      <c r="AP99" s="89"/>
      <c r="AQ99" s="89"/>
      <c r="AR99" s="89"/>
      <c r="AS99" s="89"/>
      <c r="AT99" s="89"/>
    </row>
    <row r="100">
      <c r="A100" s="35" t="s">
        <v>772</v>
      </c>
      <c r="B100" s="78" t="s">
        <v>679</v>
      </c>
      <c r="C100" s="78" t="s">
        <v>680</v>
      </c>
      <c r="D100" s="78" t="s">
        <v>773</v>
      </c>
      <c r="E100" s="100" t="s">
        <v>774</v>
      </c>
      <c r="F100" s="80" t="s">
        <v>775</v>
      </c>
      <c r="G100" s="78">
        <v>9.59183458E8</v>
      </c>
      <c r="H100" s="81">
        <v>2784.0</v>
      </c>
      <c r="I100" s="81">
        <v>1122.0</v>
      </c>
      <c r="J100" s="81" t="s">
        <v>65</v>
      </c>
      <c r="K100" s="92" t="s">
        <v>776</v>
      </c>
      <c r="L100" s="42" t="s">
        <v>67</v>
      </c>
      <c r="M100" s="82" t="s">
        <v>685</v>
      </c>
      <c r="N100" s="83" t="s">
        <v>686</v>
      </c>
      <c r="O100" s="98" t="s">
        <v>687</v>
      </c>
      <c r="P100" s="84"/>
      <c r="Q100" s="84" t="s">
        <v>67</v>
      </c>
      <c r="R100" s="85">
        <v>2.0</v>
      </c>
      <c r="S100" s="84" t="s">
        <v>67</v>
      </c>
      <c r="T100" s="93"/>
      <c r="U100" s="45"/>
      <c r="V100" s="84" t="s">
        <v>608</v>
      </c>
      <c r="W100" s="87"/>
      <c r="X100" s="88" t="s">
        <v>205</v>
      </c>
      <c r="Y100" s="49" t="s">
        <v>378</v>
      </c>
      <c r="Z100" s="81" t="s">
        <v>602</v>
      </c>
      <c r="AA100" s="45" t="s">
        <v>74</v>
      </c>
      <c r="AB100" s="45" t="s">
        <v>67</v>
      </c>
      <c r="AC100" s="45" t="s">
        <v>96</v>
      </c>
      <c r="AD100" s="51" t="s">
        <v>76</v>
      </c>
      <c r="AE100" s="89"/>
      <c r="AF100" s="84" t="s">
        <v>67</v>
      </c>
      <c r="AG100" s="84"/>
      <c r="AH100" s="45">
        <v>0.0</v>
      </c>
      <c r="AI100" s="45"/>
      <c r="AJ100" s="45"/>
      <c r="AK100" s="45"/>
      <c r="AL100" s="45"/>
      <c r="AM100" s="45"/>
      <c r="AN100" s="45">
        <v>0.0</v>
      </c>
      <c r="AO100" s="90"/>
      <c r="AP100" s="89"/>
      <c r="AQ100" s="89"/>
      <c r="AR100" s="89"/>
      <c r="AS100" s="89"/>
      <c r="AT100" s="89"/>
    </row>
    <row r="101">
      <c r="A101" s="35" t="s">
        <v>777</v>
      </c>
      <c r="B101" s="78" t="s">
        <v>679</v>
      </c>
      <c r="C101" s="78" t="s">
        <v>680</v>
      </c>
      <c r="D101" s="78" t="s">
        <v>778</v>
      </c>
      <c r="E101" s="100" t="s">
        <v>779</v>
      </c>
      <c r="F101" s="80" t="s">
        <v>780</v>
      </c>
      <c r="G101" s="78">
        <v>9.65135366E8</v>
      </c>
      <c r="H101" s="81">
        <v>2714.0</v>
      </c>
      <c r="I101" s="81">
        <v>1084.0</v>
      </c>
      <c r="J101" s="81" t="s">
        <v>65</v>
      </c>
      <c r="K101" s="82" t="s">
        <v>781</v>
      </c>
      <c r="L101" s="42" t="s">
        <v>74</v>
      </c>
      <c r="M101" s="82" t="s">
        <v>685</v>
      </c>
      <c r="N101" s="83" t="s">
        <v>686</v>
      </c>
      <c r="O101" s="98" t="s">
        <v>687</v>
      </c>
      <c r="P101" s="84"/>
      <c r="Q101" s="84" t="s">
        <v>67</v>
      </c>
      <c r="R101" s="85">
        <v>2.0</v>
      </c>
      <c r="S101" s="84" t="s">
        <v>67</v>
      </c>
      <c r="T101" s="93"/>
      <c r="U101" s="45"/>
      <c r="V101" s="84" t="s">
        <v>608</v>
      </c>
      <c r="W101" s="87"/>
      <c r="X101" s="88" t="s">
        <v>205</v>
      </c>
      <c r="Y101" s="49" t="s">
        <v>378</v>
      </c>
      <c r="Z101" s="81" t="s">
        <v>602</v>
      </c>
      <c r="AA101" s="45" t="s">
        <v>74</v>
      </c>
      <c r="AB101" s="45" t="s">
        <v>67</v>
      </c>
      <c r="AC101" s="45" t="s">
        <v>475</v>
      </c>
      <c r="AD101" s="51" t="s">
        <v>76</v>
      </c>
      <c r="AE101" s="89"/>
      <c r="AF101" s="84" t="s">
        <v>67</v>
      </c>
      <c r="AG101" s="84"/>
      <c r="AH101" s="45">
        <v>0.0</v>
      </c>
      <c r="AI101" s="45"/>
      <c r="AJ101" s="45"/>
      <c r="AK101" s="45"/>
      <c r="AL101" s="45"/>
      <c r="AM101" s="45"/>
      <c r="AN101" s="45">
        <v>0.0</v>
      </c>
      <c r="AO101" s="90"/>
      <c r="AP101" s="89"/>
      <c r="AQ101" s="89"/>
      <c r="AR101" s="89"/>
      <c r="AS101" s="89"/>
      <c r="AT101" s="89"/>
    </row>
    <row r="102">
      <c r="A102" s="35" t="s">
        <v>782</v>
      </c>
      <c r="B102" s="78" t="s">
        <v>679</v>
      </c>
      <c r="C102" s="78" t="s">
        <v>783</v>
      </c>
      <c r="D102" s="78" t="s">
        <v>784</v>
      </c>
      <c r="E102" s="100" t="s">
        <v>785</v>
      </c>
      <c r="F102" s="80" t="s">
        <v>786</v>
      </c>
      <c r="G102" s="78">
        <v>9.66072775E8</v>
      </c>
      <c r="H102" s="81">
        <v>2951.0</v>
      </c>
      <c r="I102" s="81">
        <v>1073.0</v>
      </c>
      <c r="J102" s="81" t="s">
        <v>65</v>
      </c>
      <c r="K102" s="82" t="s">
        <v>787</v>
      </c>
      <c r="L102" s="42" t="s">
        <v>67</v>
      </c>
      <c r="M102" s="82" t="s">
        <v>685</v>
      </c>
      <c r="N102" s="83" t="s">
        <v>686</v>
      </c>
      <c r="O102" s="98" t="s">
        <v>687</v>
      </c>
      <c r="P102" s="84"/>
      <c r="Q102" s="84" t="s">
        <v>67</v>
      </c>
      <c r="R102" s="85">
        <v>1.0</v>
      </c>
      <c r="S102" s="84" t="s">
        <v>67</v>
      </c>
      <c r="T102" s="93"/>
      <c r="U102" s="45"/>
      <c r="V102" s="84" t="s">
        <v>608</v>
      </c>
      <c r="W102" s="94">
        <v>46133.0</v>
      </c>
      <c r="X102" s="88" t="s">
        <v>205</v>
      </c>
      <c r="Y102" s="49" t="s">
        <v>378</v>
      </c>
      <c r="Z102" s="81" t="s">
        <v>602</v>
      </c>
      <c r="AA102" s="45" t="s">
        <v>74</v>
      </c>
      <c r="AB102" s="45" t="s">
        <v>67</v>
      </c>
      <c r="AC102" s="45" t="s">
        <v>96</v>
      </c>
      <c r="AD102" s="51" t="s">
        <v>76</v>
      </c>
      <c r="AE102" s="89"/>
      <c r="AF102" s="84" t="s">
        <v>67</v>
      </c>
      <c r="AG102" s="84"/>
      <c r="AH102" s="45">
        <v>0.0</v>
      </c>
      <c r="AI102" s="45"/>
      <c r="AJ102" s="45"/>
      <c r="AK102" s="45"/>
      <c r="AL102" s="45"/>
      <c r="AM102" s="45"/>
      <c r="AN102" s="45">
        <v>0.0</v>
      </c>
      <c r="AO102" s="90"/>
      <c r="AP102" s="89"/>
      <c r="AQ102" s="89"/>
      <c r="AR102" s="89"/>
      <c r="AS102" s="89"/>
      <c r="AT102" s="89"/>
    </row>
    <row r="103">
      <c r="A103" s="35" t="s">
        <v>788</v>
      </c>
      <c r="B103" s="36" t="s">
        <v>679</v>
      </c>
      <c r="C103" s="36" t="s">
        <v>679</v>
      </c>
      <c r="D103" s="36" t="s">
        <v>789</v>
      </c>
      <c r="E103" s="62" t="s">
        <v>790</v>
      </c>
      <c r="F103" s="38" t="s">
        <v>791</v>
      </c>
      <c r="G103" s="61">
        <v>9.46753025E8</v>
      </c>
      <c r="H103" s="40">
        <v>2948.0</v>
      </c>
      <c r="I103" s="40">
        <v>1071.0</v>
      </c>
      <c r="J103" s="40" t="s">
        <v>65</v>
      </c>
      <c r="K103" s="42" t="s">
        <v>792</v>
      </c>
      <c r="L103" s="42" t="s">
        <v>67</v>
      </c>
      <c r="M103" s="41" t="s">
        <v>685</v>
      </c>
      <c r="N103" s="43" t="s">
        <v>686</v>
      </c>
      <c r="O103" s="44" t="s">
        <v>687</v>
      </c>
      <c r="P103" s="45"/>
      <c r="Q103" s="45" t="s">
        <v>67</v>
      </c>
      <c r="R103" s="46">
        <v>1.0</v>
      </c>
      <c r="S103" s="45" t="s">
        <v>67</v>
      </c>
      <c r="T103" s="64"/>
      <c r="U103" s="45" t="s">
        <v>67</v>
      </c>
      <c r="V103" s="45"/>
      <c r="W103" s="101">
        <v>46133.0</v>
      </c>
      <c r="X103" s="49" t="s">
        <v>205</v>
      </c>
      <c r="Y103" s="49" t="s">
        <v>378</v>
      </c>
      <c r="Z103" s="40" t="s">
        <v>793</v>
      </c>
      <c r="AA103" s="45" t="s">
        <v>74</v>
      </c>
      <c r="AB103" s="45" t="s">
        <v>67</v>
      </c>
      <c r="AC103" s="45" t="s">
        <v>86</v>
      </c>
      <c r="AD103" s="51" t="s">
        <v>76</v>
      </c>
      <c r="AE103" s="54"/>
      <c r="AF103" s="45" t="s">
        <v>67</v>
      </c>
      <c r="AG103" s="45"/>
      <c r="AH103" s="45">
        <v>8.0</v>
      </c>
      <c r="AI103" s="45"/>
      <c r="AJ103" s="45"/>
      <c r="AK103" s="45"/>
      <c r="AL103" s="45"/>
      <c r="AM103" s="45"/>
      <c r="AN103" s="45">
        <v>0.0</v>
      </c>
      <c r="AO103" s="55"/>
      <c r="AP103" s="54"/>
      <c r="AQ103" s="54"/>
      <c r="AR103" s="54"/>
      <c r="AS103" s="54"/>
      <c r="AT103" s="54"/>
    </row>
    <row r="104">
      <c r="A104" s="35" t="s">
        <v>788</v>
      </c>
      <c r="B104" s="36" t="s">
        <v>679</v>
      </c>
      <c r="C104" s="36" t="s">
        <v>679</v>
      </c>
      <c r="D104" s="36" t="s">
        <v>789</v>
      </c>
      <c r="E104" s="62" t="s">
        <v>794</v>
      </c>
      <c r="F104" s="38" t="s">
        <v>795</v>
      </c>
      <c r="G104" s="61">
        <v>9.57744009E8</v>
      </c>
      <c r="H104" s="40">
        <v>2947.0</v>
      </c>
      <c r="I104" s="40">
        <v>1070.0</v>
      </c>
      <c r="J104" s="40" t="s">
        <v>65</v>
      </c>
      <c r="K104" s="41" t="s">
        <v>796</v>
      </c>
      <c r="L104" s="42" t="s">
        <v>67</v>
      </c>
      <c r="M104" s="41" t="s">
        <v>685</v>
      </c>
      <c r="N104" s="43" t="s">
        <v>686</v>
      </c>
      <c r="O104" s="44" t="s">
        <v>687</v>
      </c>
      <c r="P104" s="45"/>
      <c r="Q104" s="45" t="s">
        <v>67</v>
      </c>
      <c r="R104" s="46">
        <v>1.0</v>
      </c>
      <c r="S104" s="45" t="s">
        <v>67</v>
      </c>
      <c r="T104" s="64"/>
      <c r="U104" s="45" t="s">
        <v>67</v>
      </c>
      <c r="V104" s="45"/>
      <c r="W104" s="101">
        <v>46133.0</v>
      </c>
      <c r="X104" s="49" t="s">
        <v>205</v>
      </c>
      <c r="Y104" s="49" t="s">
        <v>378</v>
      </c>
      <c r="Z104" s="40" t="s">
        <v>793</v>
      </c>
      <c r="AA104" s="45" t="s">
        <v>74</v>
      </c>
      <c r="AB104" s="45" t="s">
        <v>67</v>
      </c>
      <c r="AC104" s="45" t="s">
        <v>86</v>
      </c>
      <c r="AD104" s="51" t="s">
        <v>76</v>
      </c>
      <c r="AE104" s="54"/>
      <c r="AF104" s="45" t="s">
        <v>67</v>
      </c>
      <c r="AG104" s="45"/>
      <c r="AH104" s="45">
        <v>8.0</v>
      </c>
      <c r="AI104" s="45"/>
      <c r="AJ104" s="45"/>
      <c r="AK104" s="45"/>
      <c r="AL104" s="45"/>
      <c r="AM104" s="45"/>
      <c r="AN104" s="45">
        <v>0.0</v>
      </c>
      <c r="AO104" s="55"/>
      <c r="AP104" s="54"/>
      <c r="AQ104" s="54"/>
      <c r="AR104" s="54"/>
      <c r="AS104" s="54"/>
      <c r="AT104" s="54"/>
    </row>
    <row r="105">
      <c r="A105" s="35" t="s">
        <v>797</v>
      </c>
      <c r="B105" s="36" t="s">
        <v>679</v>
      </c>
      <c r="C105" s="36" t="s">
        <v>725</v>
      </c>
      <c r="D105" s="36" t="s">
        <v>798</v>
      </c>
      <c r="E105" s="62" t="s">
        <v>799</v>
      </c>
      <c r="F105" s="38" t="s">
        <v>800</v>
      </c>
      <c r="G105" s="61">
        <v>9.26270223E8</v>
      </c>
      <c r="H105" s="40">
        <v>2983.0</v>
      </c>
      <c r="I105" s="40">
        <v>1093.0</v>
      </c>
      <c r="J105" s="40" t="s">
        <v>65</v>
      </c>
      <c r="K105" s="41" t="s">
        <v>801</v>
      </c>
      <c r="L105" s="42" t="s">
        <v>67</v>
      </c>
      <c r="M105" s="53" t="s">
        <v>685</v>
      </c>
      <c r="N105" s="43" t="s">
        <v>686</v>
      </c>
      <c r="O105" s="44" t="s">
        <v>687</v>
      </c>
      <c r="P105" s="45" t="s">
        <v>67</v>
      </c>
      <c r="Q105" s="45" t="s">
        <v>67</v>
      </c>
      <c r="R105" s="46">
        <v>2.0</v>
      </c>
      <c r="S105" s="45" t="s">
        <v>67</v>
      </c>
      <c r="T105" s="64"/>
      <c r="U105" s="45" t="s">
        <v>67</v>
      </c>
      <c r="V105" s="45"/>
      <c r="W105" s="101">
        <v>46133.0</v>
      </c>
      <c r="X105" s="49" t="s">
        <v>205</v>
      </c>
      <c r="Y105" s="49" t="s">
        <v>378</v>
      </c>
      <c r="Z105" s="40" t="s">
        <v>793</v>
      </c>
      <c r="AA105" s="45" t="s">
        <v>67</v>
      </c>
      <c r="AB105" s="45" t="s">
        <v>67</v>
      </c>
      <c r="AC105" s="45" t="s">
        <v>287</v>
      </c>
      <c r="AD105" s="51" t="s">
        <v>76</v>
      </c>
      <c r="AE105" s="54"/>
      <c r="AF105" s="45" t="s">
        <v>67</v>
      </c>
      <c r="AG105" s="45"/>
      <c r="AH105" s="45">
        <v>17.0</v>
      </c>
      <c r="AI105" s="45"/>
      <c r="AJ105" s="45"/>
      <c r="AK105" s="45"/>
      <c r="AL105" s="45"/>
      <c r="AM105" s="45"/>
      <c r="AN105" s="45">
        <v>0.0</v>
      </c>
      <c r="AO105" s="55"/>
      <c r="AP105" s="54"/>
      <c r="AQ105" s="54"/>
      <c r="AR105" s="54"/>
      <c r="AS105" s="54"/>
      <c r="AT105" s="54"/>
    </row>
    <row r="106">
      <c r="A106" s="35" t="s">
        <v>802</v>
      </c>
      <c r="B106" s="36" t="s">
        <v>679</v>
      </c>
      <c r="C106" s="36" t="s">
        <v>725</v>
      </c>
      <c r="D106" s="36" t="s">
        <v>803</v>
      </c>
      <c r="E106" s="62" t="s">
        <v>804</v>
      </c>
      <c r="F106" s="38" t="s">
        <v>805</v>
      </c>
      <c r="G106" s="61">
        <v>9.93832882E8</v>
      </c>
      <c r="H106" s="40">
        <v>2913.0</v>
      </c>
      <c r="I106" s="40">
        <v>1117.0</v>
      </c>
      <c r="J106" s="40" t="s">
        <v>65</v>
      </c>
      <c r="K106" s="42" t="s">
        <v>806</v>
      </c>
      <c r="L106" s="42" t="s">
        <v>67</v>
      </c>
      <c r="M106" s="41" t="s">
        <v>685</v>
      </c>
      <c r="N106" s="43" t="s">
        <v>686</v>
      </c>
      <c r="O106" s="44" t="s">
        <v>687</v>
      </c>
      <c r="P106" s="45"/>
      <c r="Q106" s="45" t="s">
        <v>67</v>
      </c>
      <c r="R106" s="46">
        <v>2.0</v>
      </c>
      <c r="S106" s="45" t="s">
        <v>67</v>
      </c>
      <c r="T106" s="64"/>
      <c r="U106" s="45" t="s">
        <v>67</v>
      </c>
      <c r="V106" s="45"/>
      <c r="W106" s="101">
        <v>46133.0</v>
      </c>
      <c r="X106" s="49" t="s">
        <v>205</v>
      </c>
      <c r="Y106" s="49" t="s">
        <v>378</v>
      </c>
      <c r="Z106" s="40" t="s">
        <v>793</v>
      </c>
      <c r="AA106" s="45" t="s">
        <v>74</v>
      </c>
      <c r="AB106" s="45" t="s">
        <v>67</v>
      </c>
      <c r="AC106" s="45" t="s">
        <v>195</v>
      </c>
      <c r="AD106" s="51" t="s">
        <v>76</v>
      </c>
      <c r="AE106" s="54"/>
      <c r="AF106" s="45" t="s">
        <v>67</v>
      </c>
      <c r="AG106" s="45"/>
      <c r="AH106" s="45">
        <v>19.0</v>
      </c>
      <c r="AI106" s="45"/>
      <c r="AJ106" s="45"/>
      <c r="AK106" s="45"/>
      <c r="AL106" s="45"/>
      <c r="AM106" s="45"/>
      <c r="AN106" s="45">
        <v>0.0</v>
      </c>
      <c r="AO106" s="55"/>
      <c r="AP106" s="54"/>
      <c r="AQ106" s="54"/>
      <c r="AR106" s="54"/>
      <c r="AS106" s="54"/>
      <c r="AT106" s="54"/>
    </row>
    <row r="107">
      <c r="A107" s="35" t="s">
        <v>807</v>
      </c>
      <c r="B107" s="36" t="s">
        <v>679</v>
      </c>
      <c r="C107" s="36" t="s">
        <v>697</v>
      </c>
      <c r="D107" s="36" t="s">
        <v>808</v>
      </c>
      <c r="E107" s="62" t="s">
        <v>809</v>
      </c>
      <c r="F107" s="38" t="s">
        <v>810</v>
      </c>
      <c r="G107" s="61">
        <v>9.58201902E8</v>
      </c>
      <c r="H107" s="40">
        <v>2706.0</v>
      </c>
      <c r="I107" s="40">
        <v>1076.0</v>
      </c>
      <c r="J107" s="40" t="s">
        <v>65</v>
      </c>
      <c r="K107" s="41" t="s">
        <v>811</v>
      </c>
      <c r="L107" s="42" t="s">
        <v>67</v>
      </c>
      <c r="M107" s="41" t="s">
        <v>685</v>
      </c>
      <c r="N107" s="43" t="s">
        <v>686</v>
      </c>
      <c r="O107" s="44" t="s">
        <v>687</v>
      </c>
      <c r="P107" s="45"/>
      <c r="Q107" s="45" t="s">
        <v>67</v>
      </c>
      <c r="R107" s="46">
        <v>1.0</v>
      </c>
      <c r="S107" s="45" t="s">
        <v>67</v>
      </c>
      <c r="T107" s="64"/>
      <c r="U107" s="45" t="s">
        <v>67</v>
      </c>
      <c r="V107" s="45"/>
      <c r="W107" s="101">
        <v>46133.0</v>
      </c>
      <c r="X107" s="49" t="s">
        <v>205</v>
      </c>
      <c r="Y107" s="49" t="s">
        <v>378</v>
      </c>
      <c r="Z107" s="40" t="s">
        <v>793</v>
      </c>
      <c r="AA107" s="45" t="s">
        <v>74</v>
      </c>
      <c r="AB107" s="45" t="s">
        <v>67</v>
      </c>
      <c r="AC107" s="45" t="s">
        <v>135</v>
      </c>
      <c r="AD107" s="51" t="s">
        <v>76</v>
      </c>
      <c r="AE107" s="54"/>
      <c r="AF107" s="45" t="s">
        <v>67</v>
      </c>
      <c r="AG107" s="45"/>
      <c r="AH107" s="45">
        <v>34.0</v>
      </c>
      <c r="AI107" s="45"/>
      <c r="AJ107" s="45"/>
      <c r="AK107" s="45"/>
      <c r="AL107" s="45"/>
      <c r="AM107" s="45"/>
      <c r="AN107" s="45">
        <v>0.0</v>
      </c>
      <c r="AO107" s="55"/>
      <c r="AP107" s="54"/>
      <c r="AQ107" s="54"/>
      <c r="AR107" s="54"/>
      <c r="AS107" s="54"/>
      <c r="AT107" s="54"/>
    </row>
    <row r="108">
      <c r="A108" s="35" t="s">
        <v>812</v>
      </c>
      <c r="B108" s="36" t="s">
        <v>679</v>
      </c>
      <c r="C108" s="36" t="s">
        <v>731</v>
      </c>
      <c r="D108" s="36" t="s">
        <v>813</v>
      </c>
      <c r="E108" s="62" t="s">
        <v>814</v>
      </c>
      <c r="F108" s="38" t="s">
        <v>815</v>
      </c>
      <c r="G108" s="61">
        <v>9.28455023E8</v>
      </c>
      <c r="H108" s="40">
        <v>2981.0</v>
      </c>
      <c r="I108" s="40">
        <v>1091.0</v>
      </c>
      <c r="J108" s="40" t="s">
        <v>65</v>
      </c>
      <c r="K108" s="42" t="s">
        <v>816</v>
      </c>
      <c r="L108" s="42" t="s">
        <v>67</v>
      </c>
      <c r="M108" s="53" t="s">
        <v>685</v>
      </c>
      <c r="N108" s="43" t="s">
        <v>686</v>
      </c>
      <c r="O108" s="44" t="s">
        <v>687</v>
      </c>
      <c r="P108" s="45" t="s">
        <v>67</v>
      </c>
      <c r="Q108" s="45" t="s">
        <v>67</v>
      </c>
      <c r="R108" s="46">
        <v>2.0</v>
      </c>
      <c r="S108" s="45" t="s">
        <v>67</v>
      </c>
      <c r="T108" s="64"/>
      <c r="U108" s="45" t="s">
        <v>67</v>
      </c>
      <c r="V108" s="45"/>
      <c r="W108" s="101">
        <v>46133.0</v>
      </c>
      <c r="X108" s="49" t="s">
        <v>205</v>
      </c>
      <c r="Y108" s="49" t="s">
        <v>378</v>
      </c>
      <c r="Z108" s="40" t="s">
        <v>793</v>
      </c>
      <c r="AA108" s="45" t="s">
        <v>74</v>
      </c>
      <c r="AB108" s="45" t="s">
        <v>67</v>
      </c>
      <c r="AC108" s="45" t="s">
        <v>287</v>
      </c>
      <c r="AD108" s="51" t="s">
        <v>76</v>
      </c>
      <c r="AE108" s="54"/>
      <c r="AF108" s="45" t="s">
        <v>67</v>
      </c>
      <c r="AG108" s="45"/>
      <c r="AH108" s="45">
        <v>13.0</v>
      </c>
      <c r="AI108" s="45"/>
      <c r="AJ108" s="45"/>
      <c r="AK108" s="45"/>
      <c r="AL108" s="45"/>
      <c r="AM108" s="45"/>
      <c r="AN108" s="45">
        <v>0.0</v>
      </c>
      <c r="AO108" s="55"/>
      <c r="AP108" s="54"/>
      <c r="AQ108" s="54"/>
      <c r="AR108" s="54"/>
      <c r="AS108" s="54"/>
      <c r="AT108" s="54"/>
    </row>
    <row r="109">
      <c r="A109" s="35" t="s">
        <v>817</v>
      </c>
      <c r="B109" s="36" t="s">
        <v>679</v>
      </c>
      <c r="C109" s="36" t="s">
        <v>679</v>
      </c>
      <c r="D109" s="36" t="s">
        <v>818</v>
      </c>
      <c r="E109" s="62" t="s">
        <v>819</v>
      </c>
      <c r="F109" s="38" t="s">
        <v>820</v>
      </c>
      <c r="G109" s="61">
        <v>9.78747002E8</v>
      </c>
      <c r="H109" s="40"/>
      <c r="I109" s="40">
        <v>1072.0</v>
      </c>
      <c r="J109" s="40" t="s">
        <v>65</v>
      </c>
      <c r="K109" s="41" t="s">
        <v>821</v>
      </c>
      <c r="L109" s="42" t="s">
        <v>67</v>
      </c>
      <c r="M109" s="41" t="s">
        <v>685</v>
      </c>
      <c r="N109" s="43" t="s">
        <v>686</v>
      </c>
      <c r="O109" s="44" t="s">
        <v>687</v>
      </c>
      <c r="P109" s="45"/>
      <c r="Q109" s="45" t="s">
        <v>67</v>
      </c>
      <c r="R109" s="46">
        <v>1.0</v>
      </c>
      <c r="S109" s="45" t="s">
        <v>67</v>
      </c>
      <c r="T109" s="64"/>
      <c r="U109" s="45" t="s">
        <v>67</v>
      </c>
      <c r="V109" s="45"/>
      <c r="W109" s="101">
        <v>46133.0</v>
      </c>
      <c r="X109" s="49" t="s">
        <v>205</v>
      </c>
      <c r="Y109" s="49" t="s">
        <v>378</v>
      </c>
      <c r="Z109" s="40" t="s">
        <v>793</v>
      </c>
      <c r="AA109" s="45" t="s">
        <v>67</v>
      </c>
      <c r="AB109" s="45" t="s">
        <v>67</v>
      </c>
      <c r="AC109" s="45" t="s">
        <v>475</v>
      </c>
      <c r="AD109" s="51" t="s">
        <v>76</v>
      </c>
      <c r="AE109" s="54"/>
      <c r="AF109" s="45" t="s">
        <v>67</v>
      </c>
      <c r="AG109" s="45"/>
      <c r="AH109" s="45">
        <v>18.0</v>
      </c>
      <c r="AI109" s="45"/>
      <c r="AJ109" s="45"/>
      <c r="AK109" s="45"/>
      <c r="AL109" s="45"/>
      <c r="AM109" s="45"/>
      <c r="AN109" s="45">
        <v>0.0</v>
      </c>
      <c r="AO109" s="55"/>
      <c r="AP109" s="54"/>
      <c r="AQ109" s="54"/>
      <c r="AR109" s="54"/>
      <c r="AS109" s="54"/>
      <c r="AT109" s="54"/>
    </row>
    <row r="110">
      <c r="A110" s="35" t="s">
        <v>822</v>
      </c>
      <c r="B110" s="36" t="s">
        <v>679</v>
      </c>
      <c r="C110" s="36" t="s">
        <v>679</v>
      </c>
      <c r="D110" s="36" t="s">
        <v>823</v>
      </c>
      <c r="E110" s="62" t="s">
        <v>824</v>
      </c>
      <c r="F110" s="38" t="s">
        <v>825</v>
      </c>
      <c r="G110" s="61" t="s">
        <v>826</v>
      </c>
      <c r="H110" s="40">
        <v>2912.0</v>
      </c>
      <c r="I110" s="40">
        <v>1116.0</v>
      </c>
      <c r="J110" s="40" t="s">
        <v>65</v>
      </c>
      <c r="K110" s="41" t="s">
        <v>827</v>
      </c>
      <c r="L110" s="42" t="s">
        <v>67</v>
      </c>
      <c r="M110" s="41" t="s">
        <v>685</v>
      </c>
      <c r="N110" s="43" t="s">
        <v>686</v>
      </c>
      <c r="O110" s="44" t="s">
        <v>687</v>
      </c>
      <c r="P110" s="45"/>
      <c r="Q110" s="45" t="s">
        <v>67</v>
      </c>
      <c r="R110" s="46">
        <v>1.0</v>
      </c>
      <c r="S110" s="45" t="s">
        <v>67</v>
      </c>
      <c r="T110" s="64"/>
      <c r="U110" s="45" t="s">
        <v>67</v>
      </c>
      <c r="V110" s="45"/>
      <c r="W110" s="101">
        <v>46132.0</v>
      </c>
      <c r="X110" s="49" t="s">
        <v>205</v>
      </c>
      <c r="Y110" s="49" t="s">
        <v>378</v>
      </c>
      <c r="Z110" s="40" t="s">
        <v>793</v>
      </c>
      <c r="AA110" s="45" t="s">
        <v>74</v>
      </c>
      <c r="AB110" s="45" t="s">
        <v>67</v>
      </c>
      <c r="AC110" s="45" t="s">
        <v>135</v>
      </c>
      <c r="AD110" s="51" t="s">
        <v>76</v>
      </c>
      <c r="AE110" s="54"/>
      <c r="AF110" s="45" t="s">
        <v>67</v>
      </c>
      <c r="AG110" s="45"/>
      <c r="AH110" s="45">
        <v>10.0</v>
      </c>
      <c r="AI110" s="45"/>
      <c r="AJ110" s="45"/>
      <c r="AK110" s="45"/>
      <c r="AL110" s="45"/>
      <c r="AM110" s="45"/>
      <c r="AN110" s="45">
        <v>0.0</v>
      </c>
      <c r="AO110" s="55"/>
      <c r="AP110" s="54"/>
      <c r="AQ110" s="54"/>
      <c r="AR110" s="54"/>
      <c r="AS110" s="54"/>
      <c r="AT110" s="54"/>
    </row>
    <row r="111">
      <c r="A111" s="35" t="s">
        <v>828</v>
      </c>
      <c r="B111" s="36" t="s">
        <v>679</v>
      </c>
      <c r="C111" s="36" t="s">
        <v>725</v>
      </c>
      <c r="D111" s="36" t="s">
        <v>829</v>
      </c>
      <c r="E111" s="62" t="s">
        <v>830</v>
      </c>
      <c r="F111" s="38" t="s">
        <v>831</v>
      </c>
      <c r="G111" s="61">
        <v>9.7861207E8</v>
      </c>
      <c r="H111" s="40">
        <v>2785.0</v>
      </c>
      <c r="I111" s="40">
        <v>1123.0</v>
      </c>
      <c r="J111" s="40" t="s">
        <v>65</v>
      </c>
      <c r="K111" s="42" t="s">
        <v>832</v>
      </c>
      <c r="L111" s="42" t="s">
        <v>67</v>
      </c>
      <c r="M111" s="41" t="s">
        <v>685</v>
      </c>
      <c r="N111" s="43" t="s">
        <v>686</v>
      </c>
      <c r="O111" s="44" t="s">
        <v>687</v>
      </c>
      <c r="P111" s="45"/>
      <c r="Q111" s="45" t="s">
        <v>67</v>
      </c>
      <c r="R111" s="46">
        <v>1.0</v>
      </c>
      <c r="S111" s="45" t="s">
        <v>67</v>
      </c>
      <c r="T111" s="64"/>
      <c r="U111" s="45" t="s">
        <v>67</v>
      </c>
      <c r="V111" s="45"/>
      <c r="W111" s="101">
        <v>46132.0</v>
      </c>
      <c r="X111" s="49" t="s">
        <v>205</v>
      </c>
      <c r="Y111" s="49" t="s">
        <v>378</v>
      </c>
      <c r="Z111" s="40" t="s">
        <v>793</v>
      </c>
      <c r="AA111" s="45" t="s">
        <v>74</v>
      </c>
      <c r="AB111" s="45" t="s">
        <v>67</v>
      </c>
      <c r="AC111" s="45" t="s">
        <v>306</v>
      </c>
      <c r="AD111" s="51" t="s">
        <v>76</v>
      </c>
      <c r="AE111" s="54"/>
      <c r="AF111" s="45" t="s">
        <v>67</v>
      </c>
      <c r="AG111" s="45"/>
      <c r="AH111" s="45">
        <v>27.0</v>
      </c>
      <c r="AI111" s="45"/>
      <c r="AJ111" s="45"/>
      <c r="AK111" s="45"/>
      <c r="AL111" s="45"/>
      <c r="AM111" s="45"/>
      <c r="AN111" s="45">
        <v>0.0</v>
      </c>
      <c r="AO111" s="55"/>
      <c r="AP111" s="54"/>
      <c r="AQ111" s="54"/>
      <c r="AR111" s="54"/>
      <c r="AS111" s="54"/>
      <c r="AT111" s="54"/>
    </row>
    <row r="112">
      <c r="A112" s="35" t="s">
        <v>833</v>
      </c>
      <c r="B112" s="36" t="s">
        <v>679</v>
      </c>
      <c r="C112" s="36" t="s">
        <v>680</v>
      </c>
      <c r="D112" s="36" t="s">
        <v>834</v>
      </c>
      <c r="E112" s="62" t="s">
        <v>835</v>
      </c>
      <c r="F112" s="38" t="s">
        <v>836</v>
      </c>
      <c r="G112" s="61">
        <v>9.58056767E8</v>
      </c>
      <c r="H112" s="40">
        <v>2715.0</v>
      </c>
      <c r="I112" s="40">
        <v>1085.0</v>
      </c>
      <c r="J112" s="40" t="s">
        <v>65</v>
      </c>
      <c r="K112" s="41" t="s">
        <v>837</v>
      </c>
      <c r="L112" s="42" t="s">
        <v>67</v>
      </c>
      <c r="M112" s="102" t="s">
        <v>838</v>
      </c>
      <c r="N112" s="43" t="s">
        <v>686</v>
      </c>
      <c r="O112" s="44" t="s">
        <v>687</v>
      </c>
      <c r="P112" s="45" t="s">
        <v>67</v>
      </c>
      <c r="Q112" s="45" t="s">
        <v>67</v>
      </c>
      <c r="R112" s="46">
        <v>2.0</v>
      </c>
      <c r="S112" s="45" t="s">
        <v>67</v>
      </c>
      <c r="T112" s="64"/>
      <c r="U112" s="45" t="s">
        <v>67</v>
      </c>
      <c r="V112" s="45"/>
      <c r="W112" s="101">
        <v>46133.0</v>
      </c>
      <c r="X112" s="49" t="s">
        <v>205</v>
      </c>
      <c r="Y112" s="49" t="s">
        <v>378</v>
      </c>
      <c r="Z112" s="40" t="s">
        <v>793</v>
      </c>
      <c r="AA112" s="45" t="s">
        <v>74</v>
      </c>
      <c r="AB112" s="45" t="s">
        <v>67</v>
      </c>
      <c r="AC112" s="45" t="s">
        <v>458</v>
      </c>
      <c r="AD112" s="51" t="s">
        <v>76</v>
      </c>
      <c r="AE112" s="54"/>
      <c r="AF112" s="45" t="s">
        <v>67</v>
      </c>
      <c r="AG112" s="45"/>
      <c r="AH112" s="45">
        <v>26.0</v>
      </c>
      <c r="AI112" s="45"/>
      <c r="AJ112" s="45"/>
      <c r="AK112" s="45"/>
      <c r="AL112" s="45"/>
      <c r="AM112" s="45"/>
      <c r="AN112" s="45">
        <v>0.0</v>
      </c>
      <c r="AO112" s="60" t="s">
        <v>839</v>
      </c>
      <c r="AP112" s="67"/>
      <c r="AQ112" s="67"/>
      <c r="AR112" s="67"/>
      <c r="AS112" s="67"/>
      <c r="AT112" s="67"/>
    </row>
    <row r="113">
      <c r="A113" s="35" t="s">
        <v>840</v>
      </c>
      <c r="B113" s="36" t="s">
        <v>679</v>
      </c>
      <c r="C113" s="36" t="s">
        <v>680</v>
      </c>
      <c r="D113" s="36" t="s">
        <v>841</v>
      </c>
      <c r="E113" s="62" t="s">
        <v>842</v>
      </c>
      <c r="F113" s="38" t="s">
        <v>843</v>
      </c>
      <c r="G113" s="61">
        <v>9.67539292E8</v>
      </c>
      <c r="H113" s="40">
        <v>2716.0</v>
      </c>
      <c r="I113" s="40">
        <v>1086.0</v>
      </c>
      <c r="J113" s="40" t="s">
        <v>65</v>
      </c>
      <c r="K113" s="41" t="s">
        <v>844</v>
      </c>
      <c r="L113" s="42" t="s">
        <v>67</v>
      </c>
      <c r="M113" s="102" t="s">
        <v>838</v>
      </c>
      <c r="N113" s="43" t="s">
        <v>686</v>
      </c>
      <c r="O113" s="44" t="s">
        <v>687</v>
      </c>
      <c r="P113" s="45" t="s">
        <v>67</v>
      </c>
      <c r="Q113" s="45" t="s">
        <v>67</v>
      </c>
      <c r="R113" s="46">
        <v>2.0</v>
      </c>
      <c r="S113" s="45" t="s">
        <v>67</v>
      </c>
      <c r="T113" s="64"/>
      <c r="U113" s="45" t="s">
        <v>67</v>
      </c>
      <c r="V113" s="45"/>
      <c r="W113" s="101">
        <v>46134.0</v>
      </c>
      <c r="X113" s="49" t="s">
        <v>205</v>
      </c>
      <c r="Y113" s="49" t="s">
        <v>393</v>
      </c>
      <c r="Z113" s="40" t="s">
        <v>793</v>
      </c>
      <c r="AA113" s="45" t="s">
        <v>74</v>
      </c>
      <c r="AB113" s="45" t="s">
        <v>67</v>
      </c>
      <c r="AC113" s="45" t="s">
        <v>306</v>
      </c>
      <c r="AD113" s="51" t="s">
        <v>76</v>
      </c>
      <c r="AE113" s="54"/>
      <c r="AF113" s="45" t="s">
        <v>67</v>
      </c>
      <c r="AG113" s="45"/>
      <c r="AH113" s="45">
        <v>6.0</v>
      </c>
      <c r="AI113" s="45"/>
      <c r="AJ113" s="45"/>
      <c r="AK113" s="45"/>
      <c r="AL113" s="45"/>
      <c r="AM113" s="45"/>
      <c r="AN113" s="45">
        <v>0.0</v>
      </c>
      <c r="AO113" s="55"/>
      <c r="AP113" s="54"/>
      <c r="AQ113" s="54"/>
      <c r="AR113" s="54"/>
      <c r="AS113" s="54"/>
      <c r="AT113" s="54"/>
    </row>
    <row r="114">
      <c r="A114" s="35" t="s">
        <v>845</v>
      </c>
      <c r="B114" s="36" t="s">
        <v>679</v>
      </c>
      <c r="C114" s="36" t="s">
        <v>725</v>
      </c>
      <c r="D114" s="36" t="s">
        <v>846</v>
      </c>
      <c r="E114" s="62" t="s">
        <v>847</v>
      </c>
      <c r="F114" s="38" t="s">
        <v>848</v>
      </c>
      <c r="G114" s="61">
        <v>9.85553251E8</v>
      </c>
      <c r="H114" s="40">
        <v>2984.0</v>
      </c>
      <c r="I114" s="40">
        <v>1094.0</v>
      </c>
      <c r="J114" s="40" t="s">
        <v>65</v>
      </c>
      <c r="K114" s="42" t="s">
        <v>849</v>
      </c>
      <c r="L114" s="42" t="s">
        <v>67</v>
      </c>
      <c r="M114" s="41" t="s">
        <v>685</v>
      </c>
      <c r="N114" s="43" t="s">
        <v>686</v>
      </c>
      <c r="O114" s="44" t="s">
        <v>687</v>
      </c>
      <c r="P114" s="45"/>
      <c r="Q114" s="45" t="s">
        <v>67</v>
      </c>
      <c r="R114" s="46">
        <v>2.0</v>
      </c>
      <c r="S114" s="45" t="s">
        <v>67</v>
      </c>
      <c r="T114" s="64"/>
      <c r="U114" s="45" t="s">
        <v>67</v>
      </c>
      <c r="V114" s="45"/>
      <c r="W114" s="101">
        <v>46132.0</v>
      </c>
      <c r="X114" s="49" t="s">
        <v>205</v>
      </c>
      <c r="Y114" s="49" t="s">
        <v>378</v>
      </c>
      <c r="Z114" s="40" t="s">
        <v>793</v>
      </c>
      <c r="AA114" s="45" t="s">
        <v>74</v>
      </c>
      <c r="AB114" s="45" t="s">
        <v>67</v>
      </c>
      <c r="AC114" s="45" t="s">
        <v>458</v>
      </c>
      <c r="AD114" s="51" t="s">
        <v>76</v>
      </c>
      <c r="AE114" s="54"/>
      <c r="AF114" s="45" t="s">
        <v>67</v>
      </c>
      <c r="AG114" s="45"/>
      <c r="AH114" s="45">
        <v>13.0</v>
      </c>
      <c r="AI114" s="45"/>
      <c r="AJ114" s="45"/>
      <c r="AK114" s="45"/>
      <c r="AL114" s="45"/>
      <c r="AM114" s="45"/>
      <c r="AN114" s="45">
        <v>0.0</v>
      </c>
      <c r="AO114" s="55"/>
      <c r="AP114" s="54"/>
      <c r="AQ114" s="54"/>
      <c r="AR114" s="54"/>
      <c r="AS114" s="54"/>
      <c r="AT114" s="54"/>
    </row>
    <row r="115">
      <c r="A115" s="35" t="s">
        <v>850</v>
      </c>
      <c r="B115" s="36" t="s">
        <v>679</v>
      </c>
      <c r="C115" s="36" t="s">
        <v>680</v>
      </c>
      <c r="D115" s="36" t="s">
        <v>851</v>
      </c>
      <c r="E115" s="62" t="s">
        <v>852</v>
      </c>
      <c r="F115" s="38" t="s">
        <v>853</v>
      </c>
      <c r="G115" s="61">
        <v>9.17157014E8</v>
      </c>
      <c r="H115" s="40">
        <v>2717.0</v>
      </c>
      <c r="I115" s="40">
        <v>1087.0</v>
      </c>
      <c r="J115" s="40" t="s">
        <v>65</v>
      </c>
      <c r="K115" s="41" t="s">
        <v>854</v>
      </c>
      <c r="L115" s="42" t="s">
        <v>67</v>
      </c>
      <c r="M115" s="102" t="s">
        <v>838</v>
      </c>
      <c r="N115" s="43" t="s">
        <v>686</v>
      </c>
      <c r="O115" s="44" t="s">
        <v>687</v>
      </c>
      <c r="P115" s="45" t="s">
        <v>67</v>
      </c>
      <c r="Q115" s="45" t="s">
        <v>67</v>
      </c>
      <c r="R115" s="46">
        <v>2.0</v>
      </c>
      <c r="S115" s="45" t="s">
        <v>67</v>
      </c>
      <c r="T115" s="64"/>
      <c r="U115" s="45" t="s">
        <v>67</v>
      </c>
      <c r="V115" s="45"/>
      <c r="W115" s="101">
        <v>46134.0</v>
      </c>
      <c r="X115" s="49" t="s">
        <v>205</v>
      </c>
      <c r="Y115" s="49" t="s">
        <v>378</v>
      </c>
      <c r="Z115" s="40" t="s">
        <v>793</v>
      </c>
      <c r="AA115" s="45" t="s">
        <v>74</v>
      </c>
      <c r="AB115" s="45" t="s">
        <v>67</v>
      </c>
      <c r="AC115" s="45" t="s">
        <v>306</v>
      </c>
      <c r="AD115" s="51" t="s">
        <v>76</v>
      </c>
      <c r="AE115" s="54"/>
      <c r="AF115" s="45" t="s">
        <v>67</v>
      </c>
      <c r="AG115" s="45"/>
      <c r="AH115" s="45">
        <v>15.0</v>
      </c>
      <c r="AI115" s="45"/>
      <c r="AJ115" s="45"/>
      <c r="AK115" s="45"/>
      <c r="AL115" s="45"/>
      <c r="AM115" s="45"/>
      <c r="AN115" s="45">
        <v>0.0</v>
      </c>
      <c r="AO115" s="55"/>
      <c r="AP115" s="54"/>
      <c r="AQ115" s="54"/>
      <c r="AR115" s="54"/>
      <c r="AS115" s="54"/>
      <c r="AT115" s="54"/>
    </row>
    <row r="116">
      <c r="A116" s="35" t="s">
        <v>855</v>
      </c>
      <c r="B116" s="36" t="s">
        <v>679</v>
      </c>
      <c r="C116" s="36" t="s">
        <v>680</v>
      </c>
      <c r="D116" s="36" t="s">
        <v>856</v>
      </c>
      <c r="E116" s="62" t="s">
        <v>857</v>
      </c>
      <c r="F116" s="38" t="s">
        <v>858</v>
      </c>
      <c r="G116" s="61">
        <v>9.733477E8</v>
      </c>
      <c r="H116" s="40">
        <v>2718.0</v>
      </c>
      <c r="I116" s="40">
        <v>1088.0</v>
      </c>
      <c r="J116" s="40" t="s">
        <v>65</v>
      </c>
      <c r="K116" s="42" t="s">
        <v>859</v>
      </c>
      <c r="L116" s="42" t="s">
        <v>67</v>
      </c>
      <c r="M116" s="42" t="s">
        <v>838</v>
      </c>
      <c r="N116" s="43" t="s">
        <v>686</v>
      </c>
      <c r="O116" s="44" t="s">
        <v>687</v>
      </c>
      <c r="P116" s="45"/>
      <c r="Q116" s="45" t="s">
        <v>67</v>
      </c>
      <c r="R116" s="46">
        <v>2.0</v>
      </c>
      <c r="S116" s="45" t="s">
        <v>67</v>
      </c>
      <c r="T116" s="64"/>
      <c r="U116" s="45" t="s">
        <v>67</v>
      </c>
      <c r="V116" s="45"/>
      <c r="W116" s="101">
        <v>46133.0</v>
      </c>
      <c r="X116" s="49" t="s">
        <v>205</v>
      </c>
      <c r="Y116" s="49"/>
      <c r="Z116" s="40" t="s">
        <v>793</v>
      </c>
      <c r="AA116" s="45" t="s">
        <v>74</v>
      </c>
      <c r="AB116" s="45" t="s">
        <v>67</v>
      </c>
      <c r="AC116" s="45" t="s">
        <v>306</v>
      </c>
      <c r="AD116" s="51" t="s">
        <v>76</v>
      </c>
      <c r="AE116" s="54"/>
      <c r="AF116" s="45" t="s">
        <v>67</v>
      </c>
      <c r="AG116" s="45"/>
      <c r="AH116" s="45">
        <v>9.0</v>
      </c>
      <c r="AI116" s="45"/>
      <c r="AJ116" s="45"/>
      <c r="AK116" s="45"/>
      <c r="AL116" s="45"/>
      <c r="AM116" s="45"/>
      <c r="AN116" s="45">
        <v>0.0</v>
      </c>
      <c r="AO116" s="55"/>
      <c r="AP116" s="54"/>
      <c r="AQ116" s="54"/>
      <c r="AR116" s="54"/>
      <c r="AS116" s="54"/>
      <c r="AT116" s="54"/>
    </row>
    <row r="117">
      <c r="A117" s="35" t="s">
        <v>860</v>
      </c>
      <c r="B117" s="36" t="s">
        <v>679</v>
      </c>
      <c r="C117" s="36" t="s">
        <v>731</v>
      </c>
      <c r="D117" s="36" t="s">
        <v>861</v>
      </c>
      <c r="E117" s="62" t="s">
        <v>862</v>
      </c>
      <c r="F117" s="38" t="s">
        <v>863</v>
      </c>
      <c r="G117" s="61">
        <v>9.2163375E8</v>
      </c>
      <c r="H117" s="40">
        <v>2780.0</v>
      </c>
      <c r="I117" s="40">
        <v>1118.0</v>
      </c>
      <c r="J117" s="40" t="s">
        <v>65</v>
      </c>
      <c r="K117" s="41" t="s">
        <v>864</v>
      </c>
      <c r="L117" s="42" t="s">
        <v>67</v>
      </c>
      <c r="M117" s="41" t="s">
        <v>685</v>
      </c>
      <c r="N117" s="43" t="s">
        <v>686</v>
      </c>
      <c r="O117" s="44" t="s">
        <v>687</v>
      </c>
      <c r="P117" s="45"/>
      <c r="Q117" s="45" t="s">
        <v>67</v>
      </c>
      <c r="R117" s="46">
        <v>2.0</v>
      </c>
      <c r="S117" s="45" t="s">
        <v>67</v>
      </c>
      <c r="T117" s="64"/>
      <c r="U117" s="45" t="s">
        <v>67</v>
      </c>
      <c r="V117" s="45"/>
      <c r="W117" s="101">
        <v>46133.0</v>
      </c>
      <c r="X117" s="49" t="s">
        <v>205</v>
      </c>
      <c r="Y117" s="49" t="s">
        <v>378</v>
      </c>
      <c r="Z117" s="40" t="s">
        <v>793</v>
      </c>
      <c r="AA117" s="45" t="s">
        <v>74</v>
      </c>
      <c r="AB117" s="45" t="s">
        <v>67</v>
      </c>
      <c r="AC117" s="45" t="s">
        <v>458</v>
      </c>
      <c r="AD117" s="51" t="s">
        <v>76</v>
      </c>
      <c r="AE117" s="54"/>
      <c r="AF117" s="45" t="s">
        <v>67</v>
      </c>
      <c r="AG117" s="45"/>
      <c r="AH117" s="45">
        <v>16.0</v>
      </c>
      <c r="AI117" s="45"/>
      <c r="AJ117" s="45"/>
      <c r="AK117" s="45"/>
      <c r="AL117" s="45"/>
      <c r="AM117" s="45"/>
      <c r="AN117" s="45">
        <v>0.0</v>
      </c>
      <c r="AO117" s="55"/>
      <c r="AP117" s="54"/>
      <c r="AQ117" s="54"/>
      <c r="AR117" s="54"/>
      <c r="AS117" s="54"/>
      <c r="AT117" s="54"/>
    </row>
    <row r="118">
      <c r="A118" s="35" t="s">
        <v>865</v>
      </c>
      <c r="B118" s="36" t="s">
        <v>679</v>
      </c>
      <c r="C118" s="36" t="s">
        <v>680</v>
      </c>
      <c r="D118" s="36" t="s">
        <v>866</v>
      </c>
      <c r="E118" s="62" t="s">
        <v>867</v>
      </c>
      <c r="F118" s="38" t="s">
        <v>868</v>
      </c>
      <c r="G118" s="61">
        <v>9.33648501E8</v>
      </c>
      <c r="H118" s="40">
        <v>2719.0</v>
      </c>
      <c r="I118" s="40">
        <v>1089.0</v>
      </c>
      <c r="J118" s="40" t="s">
        <v>65</v>
      </c>
      <c r="K118" s="41" t="s">
        <v>869</v>
      </c>
      <c r="L118" s="42" t="s">
        <v>67</v>
      </c>
      <c r="M118" s="42" t="s">
        <v>838</v>
      </c>
      <c r="N118" s="43" t="s">
        <v>686</v>
      </c>
      <c r="O118" s="44" t="s">
        <v>687</v>
      </c>
      <c r="P118" s="45"/>
      <c r="Q118" s="45" t="s">
        <v>67</v>
      </c>
      <c r="R118" s="46">
        <v>2.0</v>
      </c>
      <c r="S118" s="45" t="s">
        <v>67</v>
      </c>
      <c r="T118" s="64"/>
      <c r="U118" s="45" t="s">
        <v>67</v>
      </c>
      <c r="V118" s="45"/>
      <c r="W118" s="101">
        <v>46133.0</v>
      </c>
      <c r="X118" s="49" t="s">
        <v>205</v>
      </c>
      <c r="Y118" s="49" t="s">
        <v>870</v>
      </c>
      <c r="Z118" s="40" t="s">
        <v>793</v>
      </c>
      <c r="AA118" s="45" t="s">
        <v>74</v>
      </c>
      <c r="AB118" s="45" t="s">
        <v>67</v>
      </c>
      <c r="AC118" s="45" t="s">
        <v>287</v>
      </c>
      <c r="AD118" s="51" t="s">
        <v>76</v>
      </c>
      <c r="AE118" s="54"/>
      <c r="AF118" s="45" t="s">
        <v>67</v>
      </c>
      <c r="AG118" s="45"/>
      <c r="AH118" s="45">
        <v>17.0</v>
      </c>
      <c r="AI118" s="45"/>
      <c r="AJ118" s="45"/>
      <c r="AK118" s="45"/>
      <c r="AL118" s="45"/>
      <c r="AM118" s="45"/>
      <c r="AN118" s="45">
        <v>0.0</v>
      </c>
      <c r="AO118" s="55"/>
      <c r="AP118" s="54"/>
      <c r="AQ118" s="54"/>
      <c r="AR118" s="54"/>
      <c r="AS118" s="54"/>
      <c r="AT118" s="54"/>
    </row>
    <row r="119">
      <c r="A119" s="35" t="s">
        <v>871</v>
      </c>
      <c r="B119" s="36" t="s">
        <v>872</v>
      </c>
      <c r="C119" s="36" t="s">
        <v>873</v>
      </c>
      <c r="D119" s="36" t="s">
        <v>874</v>
      </c>
      <c r="E119" s="62" t="s">
        <v>875</v>
      </c>
      <c r="F119" s="38" t="s">
        <v>876</v>
      </c>
      <c r="G119" s="61">
        <v>9.20443899E8</v>
      </c>
      <c r="H119" s="40"/>
      <c r="I119" s="40"/>
      <c r="J119" s="40" t="s">
        <v>224</v>
      </c>
      <c r="K119" s="42" t="s">
        <v>877</v>
      </c>
      <c r="L119" s="42" t="s">
        <v>67</v>
      </c>
      <c r="M119" s="41" t="s">
        <v>579</v>
      </c>
      <c r="N119" s="58" t="s">
        <v>580</v>
      </c>
      <c r="O119" s="42" t="s">
        <v>581</v>
      </c>
      <c r="P119" s="45"/>
      <c r="Q119" s="45" t="s">
        <v>67</v>
      </c>
      <c r="R119" s="46">
        <v>1.0</v>
      </c>
      <c r="S119" s="45" t="s">
        <v>67</v>
      </c>
      <c r="T119" s="64"/>
      <c r="U119" s="45" t="s">
        <v>67</v>
      </c>
      <c r="V119" s="45"/>
      <c r="W119" s="101">
        <v>46133.0</v>
      </c>
      <c r="X119" s="49" t="s">
        <v>205</v>
      </c>
      <c r="Y119" s="49" t="s">
        <v>378</v>
      </c>
      <c r="Z119" s="40" t="s">
        <v>793</v>
      </c>
      <c r="AA119" s="45" t="s">
        <v>74</v>
      </c>
      <c r="AB119" s="45" t="s">
        <v>67</v>
      </c>
      <c r="AC119" s="45" t="s">
        <v>135</v>
      </c>
      <c r="AD119" s="51" t="s">
        <v>76</v>
      </c>
      <c r="AE119" s="54"/>
      <c r="AF119" s="45" t="s">
        <v>67</v>
      </c>
      <c r="AG119" s="45"/>
      <c r="AH119" s="45">
        <v>39.0</v>
      </c>
      <c r="AI119" s="45"/>
      <c r="AJ119" s="45"/>
      <c r="AK119" s="45"/>
      <c r="AL119" s="45"/>
      <c r="AM119" s="45"/>
      <c r="AN119" s="45">
        <v>0.0</v>
      </c>
      <c r="AO119" s="55"/>
      <c r="AP119" s="54"/>
      <c r="AQ119" s="54"/>
      <c r="AR119" s="54"/>
      <c r="AS119" s="54"/>
      <c r="AT119" s="54"/>
    </row>
    <row r="120">
      <c r="A120" s="35" t="s">
        <v>878</v>
      </c>
      <c r="B120" s="36" t="s">
        <v>872</v>
      </c>
      <c r="C120" s="36" t="s">
        <v>879</v>
      </c>
      <c r="D120" s="36" t="s">
        <v>880</v>
      </c>
      <c r="E120" s="62" t="s">
        <v>881</v>
      </c>
      <c r="F120" s="38" t="s">
        <v>882</v>
      </c>
      <c r="G120" s="61">
        <v>9.65700251E8</v>
      </c>
      <c r="H120" s="40">
        <v>2928.0</v>
      </c>
      <c r="I120" s="40">
        <v>985.0</v>
      </c>
      <c r="J120" s="40" t="s">
        <v>65</v>
      </c>
      <c r="K120" s="41" t="s">
        <v>883</v>
      </c>
      <c r="L120" s="42" t="s">
        <v>67</v>
      </c>
      <c r="M120" s="41" t="s">
        <v>884</v>
      </c>
      <c r="N120" s="43" t="s">
        <v>885</v>
      </c>
      <c r="O120" s="42" t="s">
        <v>886</v>
      </c>
      <c r="P120" s="45"/>
      <c r="Q120" s="45" t="s">
        <v>67</v>
      </c>
      <c r="R120" s="46">
        <v>1.0</v>
      </c>
      <c r="S120" s="45" t="s">
        <v>67</v>
      </c>
      <c r="T120" s="64"/>
      <c r="U120" s="45" t="s">
        <v>67</v>
      </c>
      <c r="V120" s="45"/>
      <c r="W120" s="101">
        <v>46133.0</v>
      </c>
      <c r="X120" s="49" t="s">
        <v>205</v>
      </c>
      <c r="Y120" s="49" t="s">
        <v>378</v>
      </c>
      <c r="Z120" s="40" t="s">
        <v>793</v>
      </c>
      <c r="AA120" s="45" t="s">
        <v>74</v>
      </c>
      <c r="AB120" s="45" t="s">
        <v>67</v>
      </c>
      <c r="AC120" s="45" t="s">
        <v>475</v>
      </c>
      <c r="AD120" s="51" t="s">
        <v>76</v>
      </c>
      <c r="AE120" s="54"/>
      <c r="AF120" s="45" t="s">
        <v>67</v>
      </c>
      <c r="AG120" s="45"/>
      <c r="AH120" s="45">
        <v>15.0</v>
      </c>
      <c r="AI120" s="45"/>
      <c r="AJ120" s="45"/>
      <c r="AK120" s="45"/>
      <c r="AL120" s="45"/>
      <c r="AM120" s="45"/>
      <c r="AN120" s="45">
        <v>0.0</v>
      </c>
      <c r="AO120" s="55"/>
      <c r="AP120" s="54"/>
      <c r="AQ120" s="54"/>
      <c r="AR120" s="54"/>
      <c r="AS120" s="54"/>
      <c r="AT120" s="54"/>
    </row>
    <row r="121">
      <c r="A121" s="35" t="s">
        <v>887</v>
      </c>
      <c r="B121" s="36" t="s">
        <v>872</v>
      </c>
      <c r="C121" s="36" t="s">
        <v>888</v>
      </c>
      <c r="D121" s="36" t="s">
        <v>889</v>
      </c>
      <c r="E121" s="62" t="s">
        <v>890</v>
      </c>
      <c r="F121" s="38" t="s">
        <v>891</v>
      </c>
      <c r="G121" s="61">
        <v>9.13925738E8</v>
      </c>
      <c r="H121" s="40">
        <v>2672.0</v>
      </c>
      <c r="I121" s="40">
        <v>855.0</v>
      </c>
      <c r="J121" s="40" t="s">
        <v>65</v>
      </c>
      <c r="K121" s="41" t="s">
        <v>892</v>
      </c>
      <c r="L121" s="42" t="s">
        <v>67</v>
      </c>
      <c r="M121" s="41" t="s">
        <v>579</v>
      </c>
      <c r="N121" s="58" t="s">
        <v>580</v>
      </c>
      <c r="O121" s="42" t="s">
        <v>581</v>
      </c>
      <c r="P121" s="45"/>
      <c r="Q121" s="45" t="s">
        <v>67</v>
      </c>
      <c r="R121" s="46">
        <v>1.0</v>
      </c>
      <c r="S121" s="45" t="s">
        <v>67</v>
      </c>
      <c r="T121" s="64"/>
      <c r="U121" s="45" t="s">
        <v>67</v>
      </c>
      <c r="V121" s="45"/>
      <c r="W121" s="101">
        <v>46133.0</v>
      </c>
      <c r="X121" s="49" t="s">
        <v>205</v>
      </c>
      <c r="Y121" s="49" t="s">
        <v>893</v>
      </c>
      <c r="Z121" s="40" t="s">
        <v>793</v>
      </c>
      <c r="AA121" s="45" t="s">
        <v>74</v>
      </c>
      <c r="AB121" s="45" t="s">
        <v>67</v>
      </c>
      <c r="AC121" s="45" t="s">
        <v>475</v>
      </c>
      <c r="AD121" s="51" t="s">
        <v>76</v>
      </c>
      <c r="AE121" s="54"/>
      <c r="AF121" s="45"/>
      <c r="AG121" s="45"/>
      <c r="AH121" s="45">
        <v>9.0</v>
      </c>
      <c r="AI121" s="45"/>
      <c r="AJ121" s="45"/>
      <c r="AK121" s="45"/>
      <c r="AL121" s="45"/>
      <c r="AM121" s="45"/>
      <c r="AN121" s="45">
        <v>0.0</v>
      </c>
      <c r="AO121" s="55"/>
      <c r="AP121" s="54"/>
      <c r="AQ121" s="54"/>
      <c r="AR121" s="54"/>
      <c r="AS121" s="54"/>
      <c r="AT121" s="54"/>
    </row>
    <row r="122">
      <c r="A122" s="35" t="s">
        <v>894</v>
      </c>
      <c r="B122" s="36" t="s">
        <v>872</v>
      </c>
      <c r="C122" s="36" t="s">
        <v>879</v>
      </c>
      <c r="D122" s="36" t="s">
        <v>895</v>
      </c>
      <c r="E122" s="62" t="s">
        <v>896</v>
      </c>
      <c r="F122" s="38" t="s">
        <v>897</v>
      </c>
      <c r="G122" s="61">
        <v>9.96410143E8</v>
      </c>
      <c r="H122" s="40">
        <v>2938.0</v>
      </c>
      <c r="I122" s="40">
        <v>995.0</v>
      </c>
      <c r="J122" s="40" t="s">
        <v>65</v>
      </c>
      <c r="K122" s="42" t="s">
        <v>898</v>
      </c>
      <c r="L122" s="42" t="s">
        <v>67</v>
      </c>
      <c r="M122" s="41" t="s">
        <v>884</v>
      </c>
      <c r="N122" s="43" t="s">
        <v>885</v>
      </c>
      <c r="O122" s="42" t="s">
        <v>886</v>
      </c>
      <c r="P122" s="45"/>
      <c r="Q122" s="45" t="s">
        <v>67</v>
      </c>
      <c r="R122" s="46">
        <v>1.0</v>
      </c>
      <c r="S122" s="45" t="s">
        <v>67</v>
      </c>
      <c r="T122" s="64"/>
      <c r="U122" s="45" t="s">
        <v>67</v>
      </c>
      <c r="V122" s="45"/>
      <c r="W122" s="101">
        <v>46133.0</v>
      </c>
      <c r="X122" s="49" t="s">
        <v>205</v>
      </c>
      <c r="Y122" s="49" t="s">
        <v>378</v>
      </c>
      <c r="Z122" s="40" t="s">
        <v>793</v>
      </c>
      <c r="AA122" s="45" t="s">
        <v>74</v>
      </c>
      <c r="AB122" s="45" t="s">
        <v>67</v>
      </c>
      <c r="AC122" s="45" t="s">
        <v>306</v>
      </c>
      <c r="AD122" s="51" t="s">
        <v>76</v>
      </c>
      <c r="AE122" s="54"/>
      <c r="AF122" s="45" t="s">
        <v>67</v>
      </c>
      <c r="AG122" s="45"/>
      <c r="AH122" s="45">
        <v>25.0</v>
      </c>
      <c r="AI122" s="45"/>
      <c r="AJ122" s="45"/>
      <c r="AK122" s="45"/>
      <c r="AL122" s="45"/>
      <c r="AM122" s="45"/>
      <c r="AN122" s="45">
        <v>0.0</v>
      </c>
      <c r="AO122" s="55"/>
      <c r="AP122" s="54"/>
      <c r="AQ122" s="54"/>
      <c r="AR122" s="54"/>
      <c r="AS122" s="54"/>
      <c r="AT122" s="54"/>
    </row>
    <row r="123">
      <c r="A123" s="35" t="s">
        <v>899</v>
      </c>
      <c r="B123" s="36" t="s">
        <v>872</v>
      </c>
      <c r="C123" s="36" t="s">
        <v>900</v>
      </c>
      <c r="D123" s="36" t="s">
        <v>901</v>
      </c>
      <c r="E123" s="62" t="s">
        <v>902</v>
      </c>
      <c r="F123" s="38" t="s">
        <v>903</v>
      </c>
      <c r="G123" s="61">
        <v>9.29459224E8</v>
      </c>
      <c r="H123" s="40"/>
      <c r="I123" s="40"/>
      <c r="J123" s="40" t="s">
        <v>224</v>
      </c>
      <c r="K123" s="41" t="s">
        <v>904</v>
      </c>
      <c r="L123" s="42" t="s">
        <v>67</v>
      </c>
      <c r="M123" s="41" t="s">
        <v>579</v>
      </c>
      <c r="N123" s="58" t="s">
        <v>580</v>
      </c>
      <c r="O123" s="42" t="s">
        <v>581</v>
      </c>
      <c r="P123" s="45"/>
      <c r="Q123" s="45" t="s">
        <v>67</v>
      </c>
      <c r="R123" s="46">
        <v>1.0</v>
      </c>
      <c r="S123" s="45" t="s">
        <v>67</v>
      </c>
      <c r="T123" s="64"/>
      <c r="U123" s="45" t="s">
        <v>67</v>
      </c>
      <c r="V123" s="45"/>
      <c r="W123" s="101">
        <v>46133.0</v>
      </c>
      <c r="X123" s="49" t="s">
        <v>205</v>
      </c>
      <c r="Y123" s="49" t="s">
        <v>378</v>
      </c>
      <c r="Z123" s="40" t="s">
        <v>793</v>
      </c>
      <c r="AA123" s="45" t="s">
        <v>74</v>
      </c>
      <c r="AB123" s="45" t="s">
        <v>67</v>
      </c>
      <c r="AC123" s="45" t="s">
        <v>96</v>
      </c>
      <c r="AD123" s="51" t="s">
        <v>76</v>
      </c>
      <c r="AE123" s="54"/>
      <c r="AF123" s="45" t="s">
        <v>67</v>
      </c>
      <c r="AG123" s="45"/>
      <c r="AH123" s="45">
        <v>13.0</v>
      </c>
      <c r="AI123" s="45"/>
      <c r="AJ123" s="45"/>
      <c r="AK123" s="45"/>
      <c r="AL123" s="45"/>
      <c r="AM123" s="45"/>
      <c r="AN123" s="45">
        <v>0.0</v>
      </c>
      <c r="AO123" s="55"/>
      <c r="AP123" s="54"/>
      <c r="AQ123" s="54"/>
      <c r="AR123" s="54"/>
      <c r="AS123" s="54"/>
      <c r="AT123" s="54"/>
    </row>
    <row r="124">
      <c r="A124" s="35" t="s">
        <v>905</v>
      </c>
      <c r="B124" s="36" t="s">
        <v>872</v>
      </c>
      <c r="C124" s="36" t="s">
        <v>906</v>
      </c>
      <c r="D124" s="36" t="s">
        <v>907</v>
      </c>
      <c r="E124" s="62" t="s">
        <v>908</v>
      </c>
      <c r="F124" s="38" t="s">
        <v>909</v>
      </c>
      <c r="G124" s="61">
        <v>9.69302378E8</v>
      </c>
      <c r="H124" s="40">
        <v>2616.0</v>
      </c>
      <c r="I124" s="40">
        <v>1138.0</v>
      </c>
      <c r="J124" s="40" t="s">
        <v>65</v>
      </c>
      <c r="K124" s="42" t="s">
        <v>910</v>
      </c>
      <c r="L124" s="42" t="s">
        <v>67</v>
      </c>
      <c r="M124" s="41" t="s">
        <v>884</v>
      </c>
      <c r="N124" s="43" t="s">
        <v>885</v>
      </c>
      <c r="O124" s="42" t="s">
        <v>886</v>
      </c>
      <c r="P124" s="45"/>
      <c r="Q124" s="45" t="s">
        <v>67</v>
      </c>
      <c r="R124" s="46">
        <v>1.0</v>
      </c>
      <c r="S124" s="45" t="s">
        <v>67</v>
      </c>
      <c r="T124" s="64"/>
      <c r="U124" s="45" t="s">
        <v>67</v>
      </c>
      <c r="V124" s="45"/>
      <c r="W124" s="101">
        <v>46133.0</v>
      </c>
      <c r="X124" s="49" t="s">
        <v>205</v>
      </c>
      <c r="Y124" s="49" t="s">
        <v>378</v>
      </c>
      <c r="Z124" s="40" t="s">
        <v>793</v>
      </c>
      <c r="AA124" s="45" t="s">
        <v>74</v>
      </c>
      <c r="AB124" s="45" t="s">
        <v>67</v>
      </c>
      <c r="AC124" s="45" t="s">
        <v>306</v>
      </c>
      <c r="AD124" s="51" t="s">
        <v>76</v>
      </c>
      <c r="AE124" s="54"/>
      <c r="AF124" s="45" t="s">
        <v>67</v>
      </c>
      <c r="AG124" s="45"/>
      <c r="AH124" s="45">
        <v>115.0</v>
      </c>
      <c r="AI124" s="45"/>
      <c r="AJ124" s="45"/>
      <c r="AK124" s="45"/>
      <c r="AL124" s="45"/>
      <c r="AM124" s="45"/>
      <c r="AN124" s="45">
        <v>0.0</v>
      </c>
      <c r="AO124" s="55"/>
      <c r="AP124" s="54"/>
      <c r="AQ124" s="54"/>
      <c r="AR124" s="54"/>
      <c r="AS124" s="54"/>
      <c r="AT124" s="54"/>
    </row>
    <row r="125">
      <c r="A125" s="35" t="s">
        <v>911</v>
      </c>
      <c r="B125" s="36" t="s">
        <v>872</v>
      </c>
      <c r="C125" s="36" t="s">
        <v>912</v>
      </c>
      <c r="D125" s="36" t="s">
        <v>913</v>
      </c>
      <c r="E125" s="62" t="s">
        <v>914</v>
      </c>
      <c r="F125" s="38" t="s">
        <v>915</v>
      </c>
      <c r="G125" s="61">
        <v>9.5248779E8</v>
      </c>
      <c r="H125" s="40">
        <v>2668.0</v>
      </c>
      <c r="I125" s="40">
        <v>851.0</v>
      </c>
      <c r="J125" s="40" t="s">
        <v>65</v>
      </c>
      <c r="K125" s="41" t="s">
        <v>916</v>
      </c>
      <c r="L125" s="42" t="s">
        <v>67</v>
      </c>
      <c r="M125" s="57" t="s">
        <v>917</v>
      </c>
      <c r="N125" s="43" t="s">
        <v>659</v>
      </c>
      <c r="O125" s="42" t="s">
        <v>660</v>
      </c>
      <c r="P125" s="45" t="s">
        <v>67</v>
      </c>
      <c r="Q125" s="45" t="s">
        <v>67</v>
      </c>
      <c r="R125" s="46">
        <v>1.0</v>
      </c>
      <c r="S125" s="45" t="s">
        <v>67</v>
      </c>
      <c r="T125" s="64"/>
      <c r="U125" s="45" t="s">
        <v>67</v>
      </c>
      <c r="V125" s="45"/>
      <c r="W125" s="101">
        <v>46134.0</v>
      </c>
      <c r="X125" s="49" t="s">
        <v>205</v>
      </c>
      <c r="Y125" s="49" t="s">
        <v>378</v>
      </c>
      <c r="Z125" s="40" t="s">
        <v>793</v>
      </c>
      <c r="AA125" s="45" t="s">
        <v>74</v>
      </c>
      <c r="AB125" s="45" t="s">
        <v>67</v>
      </c>
      <c r="AC125" s="45" t="s">
        <v>475</v>
      </c>
      <c r="AD125" s="51" t="s">
        <v>76</v>
      </c>
      <c r="AE125" s="54"/>
      <c r="AF125" s="45" t="s">
        <v>67</v>
      </c>
      <c r="AG125" s="45"/>
      <c r="AH125" s="45">
        <v>11.0</v>
      </c>
      <c r="AI125" s="45"/>
      <c r="AJ125" s="45"/>
      <c r="AK125" s="45"/>
      <c r="AL125" s="45"/>
      <c r="AM125" s="45"/>
      <c r="AN125" s="45">
        <v>0.0</v>
      </c>
      <c r="AO125" s="55"/>
      <c r="AP125" s="54"/>
      <c r="AQ125" s="54"/>
      <c r="AR125" s="54"/>
      <c r="AS125" s="54"/>
      <c r="AT125" s="54"/>
    </row>
    <row r="126">
      <c r="A126" s="35" t="s">
        <v>918</v>
      </c>
      <c r="B126" s="36" t="s">
        <v>872</v>
      </c>
      <c r="C126" s="36" t="s">
        <v>873</v>
      </c>
      <c r="D126" s="36" t="s">
        <v>919</v>
      </c>
      <c r="E126" s="62" t="s">
        <v>920</v>
      </c>
      <c r="F126" s="38" t="s">
        <v>921</v>
      </c>
      <c r="G126" s="61">
        <v>9.35032336E8</v>
      </c>
      <c r="H126" s="40">
        <v>2670.0</v>
      </c>
      <c r="I126" s="40">
        <v>853.0</v>
      </c>
      <c r="J126" s="40" t="s">
        <v>65</v>
      </c>
      <c r="K126" s="41" t="s">
        <v>922</v>
      </c>
      <c r="L126" s="42" t="s">
        <v>67</v>
      </c>
      <c r="M126" s="41" t="s">
        <v>579</v>
      </c>
      <c r="N126" s="58" t="s">
        <v>580</v>
      </c>
      <c r="O126" s="42" t="s">
        <v>581</v>
      </c>
      <c r="P126" s="45"/>
      <c r="Q126" s="45" t="s">
        <v>67</v>
      </c>
      <c r="R126" s="46">
        <v>1.0</v>
      </c>
      <c r="S126" s="45" t="s">
        <v>67</v>
      </c>
      <c r="T126" s="64"/>
      <c r="U126" s="45" t="s">
        <v>67</v>
      </c>
      <c r="V126" s="45"/>
      <c r="W126" s="101">
        <v>46133.0</v>
      </c>
      <c r="X126" s="49" t="s">
        <v>205</v>
      </c>
      <c r="Y126" s="49" t="s">
        <v>378</v>
      </c>
      <c r="Z126" s="40" t="s">
        <v>793</v>
      </c>
      <c r="AA126" s="45" t="s">
        <v>74</v>
      </c>
      <c r="AB126" s="45" t="s">
        <v>67</v>
      </c>
      <c r="AC126" s="45" t="s">
        <v>458</v>
      </c>
      <c r="AD126" s="51" t="s">
        <v>76</v>
      </c>
      <c r="AE126" s="54"/>
      <c r="AF126" s="45" t="s">
        <v>67</v>
      </c>
      <c r="AG126" s="45"/>
      <c r="AH126" s="45">
        <v>35.0</v>
      </c>
      <c r="AI126" s="45"/>
      <c r="AJ126" s="45"/>
      <c r="AK126" s="45"/>
      <c r="AL126" s="45"/>
      <c r="AM126" s="45"/>
      <c r="AN126" s="45">
        <v>0.0</v>
      </c>
      <c r="AO126" s="55"/>
      <c r="AP126" s="54"/>
      <c r="AQ126" s="54"/>
      <c r="AR126" s="54"/>
      <c r="AS126" s="54"/>
      <c r="AT126" s="54"/>
    </row>
    <row r="127">
      <c r="A127" s="35" t="s">
        <v>918</v>
      </c>
      <c r="B127" s="36" t="s">
        <v>872</v>
      </c>
      <c r="C127" s="36" t="s">
        <v>873</v>
      </c>
      <c r="D127" s="36" t="s">
        <v>919</v>
      </c>
      <c r="E127" s="62" t="s">
        <v>923</v>
      </c>
      <c r="F127" s="38" t="s">
        <v>924</v>
      </c>
      <c r="G127" s="61">
        <v>9.87931274E8</v>
      </c>
      <c r="H127" s="40">
        <v>2669.0</v>
      </c>
      <c r="I127" s="40">
        <v>852.0</v>
      </c>
      <c r="J127" s="40" t="s">
        <v>65</v>
      </c>
      <c r="K127" s="42" t="s">
        <v>925</v>
      </c>
      <c r="L127" s="42" t="s">
        <v>67</v>
      </c>
      <c r="M127" s="41" t="s">
        <v>579</v>
      </c>
      <c r="N127" s="58" t="s">
        <v>580</v>
      </c>
      <c r="O127" s="42" t="s">
        <v>581</v>
      </c>
      <c r="P127" s="45"/>
      <c r="Q127" s="45" t="s">
        <v>67</v>
      </c>
      <c r="R127" s="46">
        <v>1.0</v>
      </c>
      <c r="S127" s="45" t="s">
        <v>67</v>
      </c>
      <c r="T127" s="64"/>
      <c r="U127" s="45" t="s">
        <v>67</v>
      </c>
      <c r="V127" s="45"/>
      <c r="W127" s="101">
        <v>46133.0</v>
      </c>
      <c r="X127" s="49" t="s">
        <v>205</v>
      </c>
      <c r="Y127" s="49" t="s">
        <v>378</v>
      </c>
      <c r="Z127" s="40" t="s">
        <v>793</v>
      </c>
      <c r="AA127" s="45" t="s">
        <v>74</v>
      </c>
      <c r="AB127" s="45" t="s">
        <v>67</v>
      </c>
      <c r="AC127" s="45" t="s">
        <v>458</v>
      </c>
      <c r="AD127" s="51" t="s">
        <v>76</v>
      </c>
      <c r="AE127" s="54"/>
      <c r="AF127" s="45" t="s">
        <v>67</v>
      </c>
      <c r="AG127" s="45"/>
      <c r="AH127" s="45">
        <v>35.0</v>
      </c>
      <c r="AI127" s="45"/>
      <c r="AJ127" s="45"/>
      <c r="AK127" s="45"/>
      <c r="AL127" s="45"/>
      <c r="AM127" s="45"/>
      <c r="AN127" s="45">
        <v>0.0</v>
      </c>
      <c r="AO127" s="55"/>
      <c r="AP127" s="54"/>
      <c r="AQ127" s="54"/>
      <c r="AR127" s="54"/>
      <c r="AS127" s="54"/>
      <c r="AT127" s="54"/>
    </row>
    <row r="128">
      <c r="A128" s="35" t="s">
        <v>926</v>
      </c>
      <c r="B128" s="36" t="s">
        <v>872</v>
      </c>
      <c r="C128" s="36" t="s">
        <v>879</v>
      </c>
      <c r="D128" s="36" t="s">
        <v>927</v>
      </c>
      <c r="E128" s="62" t="s">
        <v>928</v>
      </c>
      <c r="F128" s="38" t="s">
        <v>929</v>
      </c>
      <c r="G128" s="61">
        <v>9.32070734E8</v>
      </c>
      <c r="H128" s="40">
        <v>2612.0</v>
      </c>
      <c r="I128" s="40">
        <v>1134.0</v>
      </c>
      <c r="J128" s="40" t="s">
        <v>65</v>
      </c>
      <c r="K128" s="41" t="s">
        <v>930</v>
      </c>
      <c r="L128" s="42" t="s">
        <v>67</v>
      </c>
      <c r="M128" s="41" t="s">
        <v>884</v>
      </c>
      <c r="N128" s="43" t="s">
        <v>885</v>
      </c>
      <c r="O128" s="42" t="s">
        <v>886</v>
      </c>
      <c r="P128" s="45"/>
      <c r="Q128" s="45" t="s">
        <v>67</v>
      </c>
      <c r="R128" s="46">
        <v>1.0</v>
      </c>
      <c r="S128" s="45" t="s">
        <v>67</v>
      </c>
      <c r="T128" s="64"/>
      <c r="U128" s="45" t="s">
        <v>67</v>
      </c>
      <c r="V128" s="45"/>
      <c r="W128" s="101">
        <v>46133.0</v>
      </c>
      <c r="X128" s="49" t="s">
        <v>205</v>
      </c>
      <c r="Y128" s="49" t="s">
        <v>378</v>
      </c>
      <c r="Z128" s="40" t="s">
        <v>793</v>
      </c>
      <c r="AA128" s="45" t="s">
        <v>74</v>
      </c>
      <c r="AB128" s="45" t="s">
        <v>67</v>
      </c>
      <c r="AC128" s="45" t="s">
        <v>458</v>
      </c>
      <c r="AD128" s="51" t="s">
        <v>76</v>
      </c>
      <c r="AE128" s="54"/>
      <c r="AF128" s="45" t="s">
        <v>67</v>
      </c>
      <c r="AG128" s="45"/>
      <c r="AH128" s="45">
        <v>15.0</v>
      </c>
      <c r="AI128" s="45"/>
      <c r="AJ128" s="45"/>
      <c r="AK128" s="45"/>
      <c r="AL128" s="45"/>
      <c r="AM128" s="45"/>
      <c r="AN128" s="45">
        <v>0.0</v>
      </c>
      <c r="AO128" s="55"/>
      <c r="AP128" s="54"/>
      <c r="AQ128" s="54"/>
      <c r="AR128" s="54"/>
      <c r="AS128" s="54"/>
      <c r="AT128" s="54"/>
    </row>
    <row r="129">
      <c r="A129" s="35" t="s">
        <v>926</v>
      </c>
      <c r="B129" s="36" t="s">
        <v>872</v>
      </c>
      <c r="C129" s="36" t="s">
        <v>879</v>
      </c>
      <c r="D129" s="36" t="s">
        <v>927</v>
      </c>
      <c r="E129" s="62" t="s">
        <v>931</v>
      </c>
      <c r="F129" s="38" t="s">
        <v>932</v>
      </c>
      <c r="G129" s="61">
        <v>9.35335277E8</v>
      </c>
      <c r="H129" s="40">
        <v>2929.0</v>
      </c>
      <c r="I129" s="40">
        <v>986.0</v>
      </c>
      <c r="J129" s="40" t="s">
        <v>65</v>
      </c>
      <c r="K129" s="41" t="s">
        <v>933</v>
      </c>
      <c r="L129" s="42" t="s">
        <v>67</v>
      </c>
      <c r="M129" s="41" t="s">
        <v>884</v>
      </c>
      <c r="N129" s="43" t="s">
        <v>885</v>
      </c>
      <c r="O129" s="42" t="s">
        <v>886</v>
      </c>
      <c r="P129" s="45"/>
      <c r="Q129" s="45" t="s">
        <v>67</v>
      </c>
      <c r="R129" s="46">
        <v>1.0</v>
      </c>
      <c r="S129" s="45" t="s">
        <v>67</v>
      </c>
      <c r="T129" s="64"/>
      <c r="U129" s="45" t="s">
        <v>67</v>
      </c>
      <c r="V129" s="45"/>
      <c r="W129" s="101">
        <v>46133.0</v>
      </c>
      <c r="X129" s="49" t="s">
        <v>205</v>
      </c>
      <c r="Y129" s="49" t="s">
        <v>378</v>
      </c>
      <c r="Z129" s="40" t="s">
        <v>793</v>
      </c>
      <c r="AA129" s="45" t="s">
        <v>74</v>
      </c>
      <c r="AB129" s="45" t="s">
        <v>67</v>
      </c>
      <c r="AC129" s="45" t="s">
        <v>458</v>
      </c>
      <c r="AD129" s="51" t="s">
        <v>76</v>
      </c>
      <c r="AE129" s="54"/>
      <c r="AF129" s="45" t="s">
        <v>67</v>
      </c>
      <c r="AG129" s="45"/>
      <c r="AH129" s="45">
        <v>27.0</v>
      </c>
      <c r="AI129" s="45"/>
      <c r="AJ129" s="45"/>
      <c r="AK129" s="45"/>
      <c r="AL129" s="45"/>
      <c r="AM129" s="45"/>
      <c r="AN129" s="45">
        <v>0.0</v>
      </c>
      <c r="AO129" s="55"/>
      <c r="AP129" s="54"/>
      <c r="AQ129" s="54"/>
      <c r="AR129" s="54"/>
      <c r="AS129" s="54"/>
      <c r="AT129" s="54"/>
    </row>
    <row r="130">
      <c r="A130" s="35" t="s">
        <v>934</v>
      </c>
      <c r="B130" s="36" t="s">
        <v>872</v>
      </c>
      <c r="C130" s="36" t="s">
        <v>879</v>
      </c>
      <c r="D130" s="61" t="s">
        <v>935</v>
      </c>
      <c r="E130" s="62" t="s">
        <v>936</v>
      </c>
      <c r="F130" s="38" t="s">
        <v>937</v>
      </c>
      <c r="G130" s="61">
        <v>9.88809915E8</v>
      </c>
      <c r="H130" s="40" t="s">
        <v>209</v>
      </c>
      <c r="I130" s="40" t="s">
        <v>938</v>
      </c>
      <c r="J130" s="40" t="s">
        <v>149</v>
      </c>
      <c r="K130" s="42" t="s">
        <v>939</v>
      </c>
      <c r="L130" s="42" t="s">
        <v>74</v>
      </c>
      <c r="M130" s="41" t="s">
        <v>884</v>
      </c>
      <c r="N130" s="43" t="s">
        <v>885</v>
      </c>
      <c r="O130" s="42" t="s">
        <v>886</v>
      </c>
      <c r="P130" s="45"/>
      <c r="Q130" s="45" t="s">
        <v>67</v>
      </c>
      <c r="R130" s="46">
        <v>1.0</v>
      </c>
      <c r="S130" s="45"/>
      <c r="T130" s="58">
        <v>3.0409651E7</v>
      </c>
      <c r="U130" s="45" t="s">
        <v>74</v>
      </c>
      <c r="V130" s="45"/>
      <c r="W130" s="103"/>
      <c r="X130" s="49" t="s">
        <v>205</v>
      </c>
      <c r="Y130" s="49"/>
      <c r="Z130" s="40" t="s">
        <v>793</v>
      </c>
      <c r="AA130" s="45" t="s">
        <v>74</v>
      </c>
      <c r="AB130" s="45" t="s">
        <v>67</v>
      </c>
      <c r="AC130" s="45"/>
      <c r="AD130" s="51" t="s">
        <v>76</v>
      </c>
      <c r="AE130" s="54"/>
      <c r="AF130" s="45"/>
      <c r="AG130" s="45"/>
      <c r="AH130" s="45">
        <v>0.0</v>
      </c>
      <c r="AI130" s="45"/>
      <c r="AJ130" s="45"/>
      <c r="AK130" s="45"/>
      <c r="AL130" s="45"/>
      <c r="AM130" s="45"/>
      <c r="AN130" s="45">
        <v>0.0</v>
      </c>
      <c r="AO130" s="55"/>
      <c r="AP130" s="54"/>
      <c r="AQ130" s="54"/>
      <c r="AR130" s="54"/>
      <c r="AS130" s="54"/>
      <c r="AT130" s="54"/>
    </row>
    <row r="131">
      <c r="A131" s="35" t="s">
        <v>940</v>
      </c>
      <c r="B131" s="36" t="s">
        <v>872</v>
      </c>
      <c r="C131" s="36" t="s">
        <v>879</v>
      </c>
      <c r="D131" s="36" t="s">
        <v>941</v>
      </c>
      <c r="E131" s="62" t="s">
        <v>942</v>
      </c>
      <c r="F131" s="38" t="s">
        <v>943</v>
      </c>
      <c r="G131" s="61">
        <v>9.99164645E8</v>
      </c>
      <c r="H131" s="40">
        <v>2614.0</v>
      </c>
      <c r="I131" s="40">
        <v>1136.0</v>
      </c>
      <c r="J131" s="40" t="s">
        <v>65</v>
      </c>
      <c r="K131" s="41" t="s">
        <v>944</v>
      </c>
      <c r="L131" s="42" t="s">
        <v>67</v>
      </c>
      <c r="M131" s="41" t="s">
        <v>884</v>
      </c>
      <c r="N131" s="43" t="s">
        <v>885</v>
      </c>
      <c r="O131" s="42" t="s">
        <v>886</v>
      </c>
      <c r="P131" s="45"/>
      <c r="Q131" s="45" t="s">
        <v>67</v>
      </c>
      <c r="R131" s="46">
        <v>1.0</v>
      </c>
      <c r="S131" s="45" t="s">
        <v>67</v>
      </c>
      <c r="T131" s="64"/>
      <c r="U131" s="45" t="s">
        <v>67</v>
      </c>
      <c r="V131" s="45"/>
      <c r="W131" s="101">
        <v>46133.0</v>
      </c>
      <c r="X131" s="49" t="s">
        <v>205</v>
      </c>
      <c r="Y131" s="49" t="s">
        <v>378</v>
      </c>
      <c r="Z131" s="40" t="s">
        <v>793</v>
      </c>
      <c r="AA131" s="45" t="s">
        <v>74</v>
      </c>
      <c r="AB131" s="45" t="s">
        <v>67</v>
      </c>
      <c r="AC131" s="45" t="s">
        <v>135</v>
      </c>
      <c r="AD131" s="51" t="s">
        <v>76</v>
      </c>
      <c r="AE131" s="54"/>
      <c r="AF131" s="45" t="s">
        <v>67</v>
      </c>
      <c r="AG131" s="45"/>
      <c r="AH131" s="45">
        <v>16.0</v>
      </c>
      <c r="AI131" s="45"/>
      <c r="AJ131" s="45"/>
      <c r="AK131" s="45"/>
      <c r="AL131" s="45"/>
      <c r="AM131" s="45"/>
      <c r="AN131" s="45">
        <v>0.0</v>
      </c>
      <c r="AO131" s="55"/>
      <c r="AP131" s="54"/>
      <c r="AQ131" s="54"/>
      <c r="AR131" s="54"/>
      <c r="AS131" s="54"/>
      <c r="AT131" s="54"/>
    </row>
    <row r="132">
      <c r="A132" s="35" t="s">
        <v>945</v>
      </c>
      <c r="B132" s="36" t="s">
        <v>872</v>
      </c>
      <c r="C132" s="36" t="s">
        <v>879</v>
      </c>
      <c r="D132" s="36" t="s">
        <v>879</v>
      </c>
      <c r="E132" s="62" t="s">
        <v>946</v>
      </c>
      <c r="F132" s="38" t="s">
        <v>947</v>
      </c>
      <c r="G132" s="61">
        <v>9.27964241E8</v>
      </c>
      <c r="H132" s="40"/>
      <c r="I132" s="40"/>
      <c r="J132" s="40" t="s">
        <v>65</v>
      </c>
      <c r="K132" s="42" t="s">
        <v>948</v>
      </c>
      <c r="L132" s="42" t="s">
        <v>67</v>
      </c>
      <c r="M132" s="41" t="s">
        <v>884</v>
      </c>
      <c r="N132" s="43" t="s">
        <v>885</v>
      </c>
      <c r="O132" s="42" t="s">
        <v>886</v>
      </c>
      <c r="P132" s="45"/>
      <c r="Q132" s="45" t="s">
        <v>67</v>
      </c>
      <c r="R132" s="46">
        <v>1.0</v>
      </c>
      <c r="S132" s="45" t="s">
        <v>67</v>
      </c>
      <c r="T132" s="64"/>
      <c r="U132" s="45" t="s">
        <v>67</v>
      </c>
      <c r="V132" s="45"/>
      <c r="W132" s="101">
        <v>46133.0</v>
      </c>
      <c r="X132" s="49" t="s">
        <v>205</v>
      </c>
      <c r="Y132" s="49" t="s">
        <v>393</v>
      </c>
      <c r="Z132" s="40" t="s">
        <v>793</v>
      </c>
      <c r="AA132" s="45" t="s">
        <v>74</v>
      </c>
      <c r="AB132" s="45" t="s">
        <v>67</v>
      </c>
      <c r="AC132" s="45" t="s">
        <v>86</v>
      </c>
      <c r="AD132" s="51" t="s">
        <v>76</v>
      </c>
      <c r="AE132" s="54"/>
      <c r="AF132" s="45" t="s">
        <v>67</v>
      </c>
      <c r="AG132" s="45"/>
      <c r="AH132" s="45">
        <v>25.0</v>
      </c>
      <c r="AI132" s="45"/>
      <c r="AJ132" s="45"/>
      <c r="AK132" s="45"/>
      <c r="AL132" s="45"/>
      <c r="AM132" s="45"/>
      <c r="AN132" s="45">
        <v>0.0</v>
      </c>
      <c r="AO132" s="55"/>
      <c r="AP132" s="54"/>
      <c r="AQ132" s="54"/>
      <c r="AR132" s="54"/>
      <c r="AS132" s="54"/>
      <c r="AT132" s="54"/>
    </row>
    <row r="133">
      <c r="A133" s="35" t="s">
        <v>949</v>
      </c>
      <c r="B133" s="36" t="s">
        <v>872</v>
      </c>
      <c r="C133" s="36" t="s">
        <v>879</v>
      </c>
      <c r="D133" s="36" t="s">
        <v>950</v>
      </c>
      <c r="E133" s="62" t="s">
        <v>951</v>
      </c>
      <c r="F133" s="38" t="s">
        <v>952</v>
      </c>
      <c r="G133" s="61">
        <v>9.58345809E8</v>
      </c>
      <c r="H133" s="40">
        <v>2615.0</v>
      </c>
      <c r="I133" s="40">
        <v>1137.0</v>
      </c>
      <c r="J133" s="40" t="s">
        <v>65</v>
      </c>
      <c r="K133" s="41" t="s">
        <v>953</v>
      </c>
      <c r="L133" s="42" t="s">
        <v>67</v>
      </c>
      <c r="M133" s="41" t="s">
        <v>884</v>
      </c>
      <c r="N133" s="43" t="s">
        <v>885</v>
      </c>
      <c r="O133" s="42" t="s">
        <v>886</v>
      </c>
      <c r="P133" s="45"/>
      <c r="Q133" s="45" t="s">
        <v>67</v>
      </c>
      <c r="R133" s="46">
        <v>1.0</v>
      </c>
      <c r="S133" s="45" t="s">
        <v>67</v>
      </c>
      <c r="T133" s="64"/>
      <c r="U133" s="45" t="s">
        <v>67</v>
      </c>
      <c r="V133" s="45"/>
      <c r="W133" s="101">
        <v>46133.0</v>
      </c>
      <c r="X133" s="49" t="s">
        <v>205</v>
      </c>
      <c r="Y133" s="49" t="s">
        <v>393</v>
      </c>
      <c r="Z133" s="40" t="s">
        <v>793</v>
      </c>
      <c r="AA133" s="45" t="s">
        <v>74</v>
      </c>
      <c r="AB133" s="45" t="s">
        <v>67</v>
      </c>
      <c r="AC133" s="45" t="s">
        <v>287</v>
      </c>
      <c r="AD133" s="51" t="s">
        <v>76</v>
      </c>
      <c r="AE133" s="54"/>
      <c r="AF133" s="45" t="s">
        <v>67</v>
      </c>
      <c r="AG133" s="45"/>
      <c r="AH133" s="45">
        <v>22.0</v>
      </c>
      <c r="AI133" s="45"/>
      <c r="AJ133" s="45"/>
      <c r="AK133" s="45"/>
      <c r="AL133" s="45"/>
      <c r="AM133" s="45"/>
      <c r="AN133" s="45">
        <v>0.0</v>
      </c>
      <c r="AO133" s="55"/>
      <c r="AP133" s="54"/>
      <c r="AQ133" s="54"/>
      <c r="AR133" s="54"/>
      <c r="AS133" s="54"/>
      <c r="AT133" s="54"/>
    </row>
    <row r="134">
      <c r="A134" s="35" t="s">
        <v>954</v>
      </c>
      <c r="B134" s="36" t="s">
        <v>872</v>
      </c>
      <c r="C134" s="36" t="s">
        <v>955</v>
      </c>
      <c r="D134" s="36" t="s">
        <v>956</v>
      </c>
      <c r="E134" s="62" t="s">
        <v>957</v>
      </c>
      <c r="F134" s="38" t="s">
        <v>958</v>
      </c>
      <c r="G134" s="61">
        <v>9.75247892E8</v>
      </c>
      <c r="H134" s="40"/>
      <c r="I134" s="40"/>
      <c r="J134" s="40" t="s">
        <v>224</v>
      </c>
      <c r="K134" s="41" t="s">
        <v>959</v>
      </c>
      <c r="L134" s="42" t="s">
        <v>67</v>
      </c>
      <c r="M134" s="41" t="s">
        <v>579</v>
      </c>
      <c r="N134" s="58" t="s">
        <v>580</v>
      </c>
      <c r="O134" s="42" t="s">
        <v>581</v>
      </c>
      <c r="P134" s="45"/>
      <c r="Q134" s="45" t="s">
        <v>67</v>
      </c>
      <c r="R134" s="46">
        <v>2.0</v>
      </c>
      <c r="S134" s="45" t="s">
        <v>67</v>
      </c>
      <c r="T134" s="64"/>
      <c r="U134" s="45" t="s">
        <v>67</v>
      </c>
      <c r="V134" s="45"/>
      <c r="W134" s="101">
        <v>46133.0</v>
      </c>
      <c r="X134" s="49" t="s">
        <v>205</v>
      </c>
      <c r="Y134" s="49" t="s">
        <v>378</v>
      </c>
      <c r="Z134" s="40" t="s">
        <v>793</v>
      </c>
      <c r="AA134" s="45" t="s">
        <v>74</v>
      </c>
      <c r="AB134" s="45" t="s">
        <v>67</v>
      </c>
      <c r="AC134" s="45" t="s">
        <v>195</v>
      </c>
      <c r="AD134" s="51" t="s">
        <v>76</v>
      </c>
      <c r="AE134" s="54"/>
      <c r="AF134" s="45" t="s">
        <v>67</v>
      </c>
      <c r="AG134" s="45"/>
      <c r="AH134" s="45">
        <v>13.0</v>
      </c>
      <c r="AI134" s="45"/>
      <c r="AJ134" s="45"/>
      <c r="AK134" s="45"/>
      <c r="AL134" s="45"/>
      <c r="AM134" s="45"/>
      <c r="AN134" s="45">
        <v>0.0</v>
      </c>
      <c r="AO134" s="55"/>
      <c r="AP134" s="54"/>
      <c r="AQ134" s="54"/>
      <c r="AR134" s="54"/>
      <c r="AS134" s="54"/>
      <c r="AT134" s="54"/>
    </row>
    <row r="135">
      <c r="A135" s="104" t="s">
        <v>960</v>
      </c>
      <c r="B135" s="105" t="s">
        <v>872</v>
      </c>
      <c r="C135" s="105" t="s">
        <v>961</v>
      </c>
      <c r="D135" s="105" t="s">
        <v>962</v>
      </c>
      <c r="E135" s="106" t="s">
        <v>963</v>
      </c>
      <c r="F135" s="107" t="s">
        <v>964</v>
      </c>
      <c r="G135" s="105">
        <v>9.59076306E8</v>
      </c>
      <c r="H135" s="108">
        <v>2722.0</v>
      </c>
      <c r="I135" s="108">
        <v>1191.0</v>
      </c>
      <c r="J135" s="108" t="s">
        <v>65</v>
      </c>
      <c r="K135" s="109" t="s">
        <v>965</v>
      </c>
      <c r="L135" s="109" t="s">
        <v>67</v>
      </c>
      <c r="M135" s="110" t="s">
        <v>884</v>
      </c>
      <c r="N135" s="111" t="s">
        <v>885</v>
      </c>
      <c r="O135" s="109" t="s">
        <v>886</v>
      </c>
      <c r="P135" s="112"/>
      <c r="Q135" s="112" t="s">
        <v>67</v>
      </c>
      <c r="R135" s="113">
        <v>2.0</v>
      </c>
      <c r="S135" s="112" t="s">
        <v>67</v>
      </c>
      <c r="T135" s="114"/>
      <c r="U135" s="112"/>
      <c r="V135" s="112"/>
      <c r="W135" s="115">
        <v>46133.0</v>
      </c>
      <c r="X135" s="116" t="s">
        <v>205</v>
      </c>
      <c r="Y135" s="116"/>
      <c r="Z135" s="108" t="s">
        <v>966</v>
      </c>
      <c r="AA135" s="112" t="s">
        <v>74</v>
      </c>
      <c r="AB135" s="112" t="s">
        <v>67</v>
      </c>
      <c r="AC135" s="112"/>
      <c r="AD135" s="117" t="s">
        <v>76</v>
      </c>
      <c r="AE135" s="118"/>
      <c r="AF135" s="112"/>
      <c r="AG135" s="112"/>
      <c r="AH135" s="112">
        <v>14.0</v>
      </c>
      <c r="AI135" s="112">
        <v>7.0</v>
      </c>
      <c r="AJ135" s="112"/>
      <c r="AK135" s="112"/>
      <c r="AL135" s="112"/>
      <c r="AM135" s="112"/>
      <c r="AN135" s="112">
        <v>0.0</v>
      </c>
      <c r="AO135" s="119"/>
      <c r="AP135" s="118"/>
      <c r="AQ135" s="118"/>
      <c r="AR135" s="118"/>
      <c r="AS135" s="118"/>
      <c r="AT135" s="118"/>
    </row>
    <row r="136">
      <c r="A136" s="104" t="s">
        <v>960</v>
      </c>
      <c r="B136" s="105" t="s">
        <v>872</v>
      </c>
      <c r="C136" s="105" t="s">
        <v>961</v>
      </c>
      <c r="D136" s="105" t="s">
        <v>962</v>
      </c>
      <c r="E136" s="106" t="s">
        <v>967</v>
      </c>
      <c r="F136" s="107" t="s">
        <v>968</v>
      </c>
      <c r="G136" s="105">
        <v>9.06476496E8</v>
      </c>
      <c r="H136" s="108">
        <v>2721.0</v>
      </c>
      <c r="I136" s="108">
        <v>1190.0</v>
      </c>
      <c r="J136" s="108" t="s">
        <v>65</v>
      </c>
      <c r="K136" s="110" t="s">
        <v>969</v>
      </c>
      <c r="L136" s="109" t="s">
        <v>74</v>
      </c>
      <c r="M136" s="110" t="s">
        <v>884</v>
      </c>
      <c r="N136" s="111" t="s">
        <v>885</v>
      </c>
      <c r="O136" s="109" t="s">
        <v>886</v>
      </c>
      <c r="P136" s="112"/>
      <c r="Q136" s="112" t="s">
        <v>67</v>
      </c>
      <c r="R136" s="113">
        <v>2.0</v>
      </c>
      <c r="S136" s="112" t="s">
        <v>67</v>
      </c>
      <c r="T136" s="114"/>
      <c r="U136" s="112"/>
      <c r="V136" s="112" t="s">
        <v>970</v>
      </c>
      <c r="W136" s="120" t="s">
        <v>971</v>
      </c>
      <c r="X136" s="116" t="s">
        <v>205</v>
      </c>
      <c r="Y136" s="116"/>
      <c r="Z136" s="108" t="s">
        <v>966</v>
      </c>
      <c r="AA136" s="112" t="s">
        <v>74</v>
      </c>
      <c r="AB136" s="112" t="s">
        <v>67</v>
      </c>
      <c r="AC136" s="112" t="s">
        <v>135</v>
      </c>
      <c r="AD136" s="117" t="s">
        <v>76</v>
      </c>
      <c r="AE136" s="118"/>
      <c r="AF136" s="112" t="s">
        <v>67</v>
      </c>
      <c r="AG136" s="112"/>
      <c r="AH136" s="112">
        <v>13.0</v>
      </c>
      <c r="AI136" s="112">
        <v>8.0</v>
      </c>
      <c r="AJ136" s="112"/>
      <c r="AK136" s="112"/>
      <c r="AL136" s="112"/>
      <c r="AM136" s="112"/>
      <c r="AN136" s="112">
        <v>0.0</v>
      </c>
      <c r="AO136" s="119"/>
      <c r="AP136" s="118"/>
      <c r="AQ136" s="118"/>
      <c r="AR136" s="118"/>
      <c r="AS136" s="118"/>
      <c r="AT136" s="118"/>
    </row>
    <row r="137" ht="25.5" customHeight="1">
      <c r="A137" s="104" t="s">
        <v>972</v>
      </c>
      <c r="B137" s="105" t="s">
        <v>872</v>
      </c>
      <c r="C137" s="105" t="s">
        <v>973</v>
      </c>
      <c r="D137" s="105" t="s">
        <v>974</v>
      </c>
      <c r="E137" s="106" t="s">
        <v>975</v>
      </c>
      <c r="F137" s="107" t="s">
        <v>976</v>
      </c>
      <c r="G137" s="105">
        <v>9.65441121E8</v>
      </c>
      <c r="H137" s="108">
        <v>2979.0</v>
      </c>
      <c r="I137" s="108">
        <v>1170.0</v>
      </c>
      <c r="J137" s="108" t="s">
        <v>65</v>
      </c>
      <c r="K137" s="110" t="s">
        <v>977</v>
      </c>
      <c r="L137" s="109" t="s">
        <v>67</v>
      </c>
      <c r="M137" s="110" t="s">
        <v>579</v>
      </c>
      <c r="N137" s="104" t="s">
        <v>580</v>
      </c>
      <c r="O137" s="109" t="s">
        <v>581</v>
      </c>
      <c r="P137" s="112"/>
      <c r="Q137" s="112" t="s">
        <v>67</v>
      </c>
      <c r="R137" s="113">
        <v>2.0</v>
      </c>
      <c r="S137" s="112" t="s">
        <v>67</v>
      </c>
      <c r="T137" s="114"/>
      <c r="U137" s="112"/>
      <c r="V137" s="112" t="s">
        <v>970</v>
      </c>
      <c r="W137" s="120" t="s">
        <v>978</v>
      </c>
      <c r="X137" s="116" t="s">
        <v>205</v>
      </c>
      <c r="Y137" s="116" t="s">
        <v>666</v>
      </c>
      <c r="Z137" s="108" t="s">
        <v>966</v>
      </c>
      <c r="AA137" s="112" t="s">
        <v>74</v>
      </c>
      <c r="AB137" s="112" t="s">
        <v>67</v>
      </c>
      <c r="AC137" s="112"/>
      <c r="AD137" s="117" t="s">
        <v>76</v>
      </c>
      <c r="AE137" s="118"/>
      <c r="AF137" s="112" t="s">
        <v>67</v>
      </c>
      <c r="AG137" s="112"/>
      <c r="AH137" s="112">
        <v>19.0</v>
      </c>
      <c r="AI137" s="112">
        <v>15.0</v>
      </c>
      <c r="AJ137" s="112"/>
      <c r="AK137" s="112"/>
      <c r="AL137" s="112"/>
      <c r="AM137" s="112"/>
      <c r="AN137" s="112">
        <v>0.0</v>
      </c>
      <c r="AO137" s="121"/>
      <c r="AP137" s="118"/>
      <c r="AQ137" s="118"/>
      <c r="AR137" s="118"/>
      <c r="AS137" s="118"/>
      <c r="AT137" s="118"/>
    </row>
    <row r="138" ht="32.25" customHeight="1">
      <c r="A138" s="104" t="s">
        <v>979</v>
      </c>
      <c r="B138" s="105" t="s">
        <v>872</v>
      </c>
      <c r="C138" s="105" t="s">
        <v>906</v>
      </c>
      <c r="D138" s="105" t="s">
        <v>980</v>
      </c>
      <c r="E138" s="106" t="s">
        <v>981</v>
      </c>
      <c r="F138" s="107" t="s">
        <v>982</v>
      </c>
      <c r="G138" s="105">
        <v>9.26302317E8</v>
      </c>
      <c r="H138" s="108">
        <v>2617.0</v>
      </c>
      <c r="I138" s="108">
        <v>1139.0</v>
      </c>
      <c r="J138" s="108" t="s">
        <v>65</v>
      </c>
      <c r="K138" s="109" t="s">
        <v>983</v>
      </c>
      <c r="L138" s="109" t="s">
        <v>67</v>
      </c>
      <c r="M138" s="110" t="s">
        <v>884</v>
      </c>
      <c r="N138" s="111" t="s">
        <v>885</v>
      </c>
      <c r="O138" s="109" t="s">
        <v>886</v>
      </c>
      <c r="P138" s="112"/>
      <c r="Q138" s="112" t="s">
        <v>67</v>
      </c>
      <c r="R138" s="113">
        <v>2.0</v>
      </c>
      <c r="S138" s="112" t="s">
        <v>67</v>
      </c>
      <c r="T138" s="104" t="s">
        <v>984</v>
      </c>
      <c r="U138" s="112" t="s">
        <v>67</v>
      </c>
      <c r="V138" s="112" t="s">
        <v>970</v>
      </c>
      <c r="W138" s="120" t="s">
        <v>985</v>
      </c>
      <c r="X138" s="116" t="s">
        <v>205</v>
      </c>
      <c r="Y138" s="116" t="s">
        <v>378</v>
      </c>
      <c r="Z138" s="108" t="s">
        <v>966</v>
      </c>
      <c r="AA138" s="112" t="s">
        <v>67</v>
      </c>
      <c r="AB138" s="112" t="s">
        <v>67</v>
      </c>
      <c r="AC138" s="112"/>
      <c r="AD138" s="117" t="s">
        <v>76</v>
      </c>
      <c r="AE138" s="118"/>
      <c r="AF138" s="112" t="s">
        <v>67</v>
      </c>
      <c r="AG138" s="112"/>
      <c r="AH138" s="112">
        <v>17.0</v>
      </c>
      <c r="AI138" s="112">
        <v>7.0</v>
      </c>
      <c r="AJ138" s="112"/>
      <c r="AK138" s="112"/>
      <c r="AL138" s="112"/>
      <c r="AM138" s="112"/>
      <c r="AN138" s="112">
        <v>0.0</v>
      </c>
      <c r="AO138" s="121"/>
      <c r="AP138" s="118"/>
      <c r="AQ138" s="118"/>
      <c r="AR138" s="118"/>
      <c r="AS138" s="118"/>
      <c r="AT138" s="118"/>
    </row>
    <row r="139" ht="30.75" customHeight="1">
      <c r="A139" s="104" t="s">
        <v>986</v>
      </c>
      <c r="B139" s="105" t="s">
        <v>872</v>
      </c>
      <c r="C139" s="105" t="s">
        <v>973</v>
      </c>
      <c r="D139" s="105" t="s">
        <v>987</v>
      </c>
      <c r="E139" s="106" t="s">
        <v>988</v>
      </c>
      <c r="F139" s="107" t="s">
        <v>989</v>
      </c>
      <c r="G139" s="105">
        <v>9.73036789E8</v>
      </c>
      <c r="H139" s="108">
        <v>2666.0</v>
      </c>
      <c r="I139" s="108">
        <v>849.0</v>
      </c>
      <c r="J139" s="108" t="s">
        <v>65</v>
      </c>
      <c r="K139" s="110" t="s">
        <v>990</v>
      </c>
      <c r="L139" s="109" t="s">
        <v>74</v>
      </c>
      <c r="M139" s="110" t="s">
        <v>579</v>
      </c>
      <c r="N139" s="104" t="s">
        <v>580</v>
      </c>
      <c r="O139" s="109" t="s">
        <v>581</v>
      </c>
      <c r="P139" s="112"/>
      <c r="Q139" s="112" t="s">
        <v>67</v>
      </c>
      <c r="R139" s="113">
        <v>1.0</v>
      </c>
      <c r="S139" s="112" t="s">
        <v>67</v>
      </c>
      <c r="T139" s="114"/>
      <c r="U139" s="112"/>
      <c r="V139" s="112" t="s">
        <v>970</v>
      </c>
      <c r="W139" s="120" t="s">
        <v>991</v>
      </c>
      <c r="X139" s="116" t="s">
        <v>205</v>
      </c>
      <c r="Y139" s="116" t="s">
        <v>992</v>
      </c>
      <c r="Z139" s="108" t="s">
        <v>966</v>
      </c>
      <c r="AA139" s="112" t="s">
        <v>74</v>
      </c>
      <c r="AB139" s="112" t="s">
        <v>67</v>
      </c>
      <c r="AC139" s="112"/>
      <c r="AD139" s="117" t="s">
        <v>76</v>
      </c>
      <c r="AE139" s="118"/>
      <c r="AF139" s="112" t="s">
        <v>67</v>
      </c>
      <c r="AG139" s="112"/>
      <c r="AH139" s="112">
        <v>0.0</v>
      </c>
      <c r="AI139" s="112">
        <v>5.0</v>
      </c>
      <c r="AJ139" s="112"/>
      <c r="AK139" s="112"/>
      <c r="AL139" s="112"/>
      <c r="AM139" s="112"/>
      <c r="AN139" s="112">
        <v>0.0</v>
      </c>
      <c r="AO139" s="121"/>
      <c r="AP139" s="118"/>
      <c r="AQ139" s="118"/>
      <c r="AR139" s="118"/>
      <c r="AS139" s="118"/>
      <c r="AT139" s="118"/>
    </row>
    <row r="140">
      <c r="A140" s="104" t="s">
        <v>986</v>
      </c>
      <c r="B140" s="105" t="s">
        <v>872</v>
      </c>
      <c r="C140" s="105" t="s">
        <v>973</v>
      </c>
      <c r="D140" s="105" t="s">
        <v>987</v>
      </c>
      <c r="E140" s="106" t="s">
        <v>993</v>
      </c>
      <c r="F140" s="107" t="s">
        <v>994</v>
      </c>
      <c r="G140" s="105" t="s">
        <v>995</v>
      </c>
      <c r="H140" s="108">
        <v>2667.0</v>
      </c>
      <c r="I140" s="108">
        <v>850.0</v>
      </c>
      <c r="J140" s="108" t="s">
        <v>65</v>
      </c>
      <c r="K140" s="109" t="s">
        <v>996</v>
      </c>
      <c r="L140" s="109" t="s">
        <v>74</v>
      </c>
      <c r="M140" s="110" t="s">
        <v>579</v>
      </c>
      <c r="N140" s="104" t="s">
        <v>580</v>
      </c>
      <c r="O140" s="109" t="s">
        <v>581</v>
      </c>
      <c r="P140" s="112"/>
      <c r="Q140" s="112" t="s">
        <v>67</v>
      </c>
      <c r="R140" s="113">
        <v>1.0</v>
      </c>
      <c r="S140" s="112" t="s">
        <v>67</v>
      </c>
      <c r="T140" s="114"/>
      <c r="U140" s="112"/>
      <c r="V140" s="112" t="s">
        <v>997</v>
      </c>
      <c r="W140" s="120" t="s">
        <v>991</v>
      </c>
      <c r="X140" s="116" t="s">
        <v>205</v>
      </c>
      <c r="Y140" s="116" t="s">
        <v>992</v>
      </c>
      <c r="Z140" s="108" t="s">
        <v>966</v>
      </c>
      <c r="AA140" s="112" t="s">
        <v>74</v>
      </c>
      <c r="AB140" s="112" t="s">
        <v>67</v>
      </c>
      <c r="AC140" s="112"/>
      <c r="AD140" s="117" t="s">
        <v>76</v>
      </c>
      <c r="AE140" s="118"/>
      <c r="AF140" s="112" t="s">
        <v>67</v>
      </c>
      <c r="AG140" s="112"/>
      <c r="AH140" s="112">
        <v>0.0</v>
      </c>
      <c r="AI140" s="112">
        <v>5.0</v>
      </c>
      <c r="AJ140" s="112"/>
      <c r="AK140" s="112"/>
      <c r="AL140" s="112"/>
      <c r="AM140" s="112"/>
      <c r="AN140" s="112">
        <v>0.0</v>
      </c>
      <c r="AO140" s="119"/>
      <c r="AP140" s="118"/>
      <c r="AQ140" s="118"/>
      <c r="AR140" s="118"/>
      <c r="AS140" s="118"/>
      <c r="AT140" s="118"/>
    </row>
    <row r="141" ht="27.0" customHeight="1">
      <c r="A141" s="104" t="s">
        <v>998</v>
      </c>
      <c r="B141" s="105" t="s">
        <v>872</v>
      </c>
      <c r="C141" s="105" t="s">
        <v>888</v>
      </c>
      <c r="D141" s="105" t="s">
        <v>999</v>
      </c>
      <c r="E141" s="106" t="s">
        <v>1000</v>
      </c>
      <c r="F141" s="107" t="s">
        <v>1001</v>
      </c>
      <c r="G141" s="105">
        <v>9.30911158E8</v>
      </c>
      <c r="H141" s="108">
        <v>2978.0</v>
      </c>
      <c r="I141" s="108">
        <v>1166.0</v>
      </c>
      <c r="J141" s="108" t="s">
        <v>65</v>
      </c>
      <c r="K141" s="110" t="s">
        <v>1002</v>
      </c>
      <c r="L141" s="109" t="s">
        <v>67</v>
      </c>
      <c r="M141" s="110" t="s">
        <v>579</v>
      </c>
      <c r="N141" s="104" t="s">
        <v>580</v>
      </c>
      <c r="O141" s="109" t="s">
        <v>581</v>
      </c>
      <c r="P141" s="112"/>
      <c r="Q141" s="112" t="s">
        <v>67</v>
      </c>
      <c r="R141" s="113">
        <v>1.0</v>
      </c>
      <c r="S141" s="112" t="s">
        <v>67</v>
      </c>
      <c r="T141" s="104"/>
      <c r="U141" s="112"/>
      <c r="V141" s="112" t="s">
        <v>1003</v>
      </c>
      <c r="W141" s="120" t="s">
        <v>1004</v>
      </c>
      <c r="X141" s="116" t="s">
        <v>205</v>
      </c>
      <c r="Y141" s="116" t="s">
        <v>666</v>
      </c>
      <c r="Z141" s="108" t="s">
        <v>966</v>
      </c>
      <c r="AA141" s="112" t="s">
        <v>74</v>
      </c>
      <c r="AB141" s="112" t="s">
        <v>67</v>
      </c>
      <c r="AC141" s="112"/>
      <c r="AD141" s="117" t="s">
        <v>76</v>
      </c>
      <c r="AE141" s="118"/>
      <c r="AF141" s="112" t="s">
        <v>67</v>
      </c>
      <c r="AG141" s="112"/>
      <c r="AH141" s="112">
        <v>20.0</v>
      </c>
      <c r="AI141" s="112">
        <v>18.0</v>
      </c>
      <c r="AJ141" s="112"/>
      <c r="AK141" s="112"/>
      <c r="AL141" s="112"/>
      <c r="AM141" s="112"/>
      <c r="AN141" s="112">
        <v>1.0</v>
      </c>
      <c r="AO141" s="121"/>
      <c r="AP141" s="118"/>
      <c r="AQ141" s="118"/>
      <c r="AR141" s="118"/>
      <c r="AS141" s="118"/>
      <c r="AT141" s="118"/>
    </row>
    <row r="142" ht="27.0" customHeight="1">
      <c r="A142" s="104" t="s">
        <v>1005</v>
      </c>
      <c r="B142" s="105" t="s">
        <v>872</v>
      </c>
      <c r="C142" s="105" t="s">
        <v>879</v>
      </c>
      <c r="D142" s="105" t="s">
        <v>1006</v>
      </c>
      <c r="E142" s="106" t="s">
        <v>1007</v>
      </c>
      <c r="F142" s="107" t="s">
        <v>1008</v>
      </c>
      <c r="G142" s="105">
        <v>9.55779664E8</v>
      </c>
      <c r="H142" s="108">
        <v>2931.0</v>
      </c>
      <c r="I142" s="108">
        <v>988.0</v>
      </c>
      <c r="J142" s="108" t="s">
        <v>65</v>
      </c>
      <c r="K142" s="110" t="s">
        <v>1009</v>
      </c>
      <c r="L142" s="109" t="s">
        <v>74</v>
      </c>
      <c r="M142" s="110" t="s">
        <v>884</v>
      </c>
      <c r="N142" s="111" t="s">
        <v>885</v>
      </c>
      <c r="O142" s="109" t="s">
        <v>886</v>
      </c>
      <c r="P142" s="112"/>
      <c r="Q142" s="112" t="s">
        <v>67</v>
      </c>
      <c r="R142" s="113">
        <v>2.0</v>
      </c>
      <c r="S142" s="112" t="s">
        <v>67</v>
      </c>
      <c r="T142" s="114"/>
      <c r="U142" s="112"/>
      <c r="V142" s="112" t="s">
        <v>970</v>
      </c>
      <c r="W142" s="120" t="s">
        <v>1010</v>
      </c>
      <c r="X142" s="116" t="s">
        <v>205</v>
      </c>
      <c r="Y142" s="116" t="s">
        <v>666</v>
      </c>
      <c r="Z142" s="108" t="s">
        <v>966</v>
      </c>
      <c r="AA142" s="112" t="s">
        <v>74</v>
      </c>
      <c r="AB142" s="112" t="s">
        <v>67</v>
      </c>
      <c r="AC142" s="112"/>
      <c r="AD142" s="117" t="s">
        <v>76</v>
      </c>
      <c r="AE142" s="118"/>
      <c r="AF142" s="112" t="s">
        <v>67</v>
      </c>
      <c r="AG142" s="112"/>
      <c r="AH142" s="112">
        <v>3.0</v>
      </c>
      <c r="AI142" s="112">
        <v>2.0</v>
      </c>
      <c r="AJ142" s="112"/>
      <c r="AK142" s="112"/>
      <c r="AL142" s="112"/>
      <c r="AM142" s="112"/>
      <c r="AN142" s="112">
        <v>0.0</v>
      </c>
      <c r="AO142" s="121"/>
      <c r="AP142" s="118"/>
      <c r="AQ142" s="118"/>
      <c r="AR142" s="118"/>
      <c r="AS142" s="118"/>
      <c r="AT142" s="118"/>
    </row>
    <row r="143" ht="28.5" customHeight="1">
      <c r="A143" s="104" t="s">
        <v>1011</v>
      </c>
      <c r="B143" s="105" t="s">
        <v>872</v>
      </c>
      <c r="C143" s="105" t="s">
        <v>912</v>
      </c>
      <c r="D143" s="105" t="s">
        <v>1012</v>
      </c>
      <c r="E143" s="106" t="s">
        <v>1013</v>
      </c>
      <c r="F143" s="107" t="s">
        <v>1014</v>
      </c>
      <c r="G143" s="105">
        <v>9.50791859E8</v>
      </c>
      <c r="H143" s="108"/>
      <c r="I143" s="108"/>
      <c r="J143" s="108" t="s">
        <v>224</v>
      </c>
      <c r="K143" s="109" t="s">
        <v>1015</v>
      </c>
      <c r="L143" s="109" t="s">
        <v>67</v>
      </c>
      <c r="M143" s="110" t="s">
        <v>658</v>
      </c>
      <c r="N143" s="111" t="s">
        <v>659</v>
      </c>
      <c r="O143" s="109" t="s">
        <v>660</v>
      </c>
      <c r="P143" s="112" t="s">
        <v>67</v>
      </c>
      <c r="Q143" s="112" t="s">
        <v>226</v>
      </c>
      <c r="R143" s="113">
        <v>1.0</v>
      </c>
      <c r="S143" s="112" t="s">
        <v>226</v>
      </c>
      <c r="T143" s="104" t="s">
        <v>984</v>
      </c>
      <c r="U143" s="112"/>
      <c r="V143" s="112" t="s">
        <v>1016</v>
      </c>
      <c r="W143" s="120" t="s">
        <v>1017</v>
      </c>
      <c r="X143" s="116" t="s">
        <v>205</v>
      </c>
      <c r="Y143" s="116" t="s">
        <v>666</v>
      </c>
      <c r="Z143" s="108" t="s">
        <v>966</v>
      </c>
      <c r="AA143" s="112" t="s">
        <v>74</v>
      </c>
      <c r="AB143" s="112" t="s">
        <v>67</v>
      </c>
      <c r="AC143" s="112"/>
      <c r="AD143" s="117" t="s">
        <v>76</v>
      </c>
      <c r="AE143" s="118"/>
      <c r="AF143" s="112" t="s">
        <v>67</v>
      </c>
      <c r="AG143" s="112"/>
      <c r="AH143" s="112">
        <v>28.0</v>
      </c>
      <c r="AI143" s="112">
        <v>21.0</v>
      </c>
      <c r="AJ143" s="112"/>
      <c r="AK143" s="112"/>
      <c r="AL143" s="112"/>
      <c r="AM143" s="112"/>
      <c r="AN143" s="112">
        <v>1.0</v>
      </c>
      <c r="AO143" s="121"/>
      <c r="AP143" s="118"/>
      <c r="AQ143" s="118"/>
      <c r="AR143" s="118"/>
      <c r="AS143" s="118"/>
      <c r="AT143" s="118"/>
    </row>
    <row r="144" ht="26.25" customHeight="1">
      <c r="A144" s="104" t="s">
        <v>1018</v>
      </c>
      <c r="B144" s="105" t="s">
        <v>872</v>
      </c>
      <c r="C144" s="105" t="s">
        <v>879</v>
      </c>
      <c r="D144" s="105" t="s">
        <v>1019</v>
      </c>
      <c r="E144" s="106" t="s">
        <v>1020</v>
      </c>
      <c r="F144" s="107" t="s">
        <v>1021</v>
      </c>
      <c r="G144" s="105">
        <v>9.76783884E8</v>
      </c>
      <c r="H144" s="108"/>
      <c r="I144" s="108">
        <v>989.0</v>
      </c>
      <c r="J144" s="108" t="s">
        <v>65</v>
      </c>
      <c r="K144" s="110" t="s">
        <v>1022</v>
      </c>
      <c r="L144" s="109" t="s">
        <v>67</v>
      </c>
      <c r="M144" s="110" t="s">
        <v>884</v>
      </c>
      <c r="N144" s="111" t="s">
        <v>885</v>
      </c>
      <c r="O144" s="109" t="s">
        <v>886</v>
      </c>
      <c r="P144" s="112"/>
      <c r="Q144" s="112" t="s">
        <v>67</v>
      </c>
      <c r="R144" s="113">
        <v>1.0</v>
      </c>
      <c r="S144" s="112" t="s">
        <v>67</v>
      </c>
      <c r="T144" s="114"/>
      <c r="U144" s="112"/>
      <c r="V144" s="112" t="s">
        <v>1003</v>
      </c>
      <c r="W144" s="120" t="s">
        <v>1023</v>
      </c>
      <c r="X144" s="116" t="s">
        <v>205</v>
      </c>
      <c r="Y144" s="116" t="s">
        <v>378</v>
      </c>
      <c r="Z144" s="108" t="s">
        <v>966</v>
      </c>
      <c r="AA144" s="112" t="s">
        <v>74</v>
      </c>
      <c r="AB144" s="112" t="s">
        <v>67</v>
      </c>
      <c r="AC144" s="112"/>
      <c r="AD144" s="117" t="s">
        <v>76</v>
      </c>
      <c r="AE144" s="118"/>
      <c r="AF144" s="112" t="s">
        <v>67</v>
      </c>
      <c r="AG144" s="112"/>
      <c r="AH144" s="112">
        <v>14.0</v>
      </c>
      <c r="AI144" s="112">
        <v>2.0</v>
      </c>
      <c r="AJ144" s="112"/>
      <c r="AK144" s="112"/>
      <c r="AL144" s="112"/>
      <c r="AM144" s="112"/>
      <c r="AN144" s="112">
        <v>0.0</v>
      </c>
      <c r="AO144" s="121"/>
      <c r="AP144" s="118"/>
      <c r="AQ144" s="118"/>
      <c r="AR144" s="118"/>
      <c r="AS144" s="118"/>
      <c r="AT144" s="118"/>
    </row>
    <row r="145" ht="27.75" customHeight="1">
      <c r="A145" s="104" t="s">
        <v>1024</v>
      </c>
      <c r="B145" s="105" t="s">
        <v>872</v>
      </c>
      <c r="C145" s="105" t="s">
        <v>888</v>
      </c>
      <c r="D145" s="105" t="s">
        <v>1025</v>
      </c>
      <c r="E145" s="106" t="s">
        <v>1026</v>
      </c>
      <c r="F145" s="107" t="s">
        <v>1027</v>
      </c>
      <c r="G145" s="105">
        <v>9.46346388E8</v>
      </c>
      <c r="H145" s="108"/>
      <c r="I145" s="108"/>
      <c r="J145" s="108" t="s">
        <v>65</v>
      </c>
      <c r="K145" s="110" t="s">
        <v>1028</v>
      </c>
      <c r="L145" s="109" t="s">
        <v>67</v>
      </c>
      <c r="M145" s="104" t="s">
        <v>1029</v>
      </c>
      <c r="N145" s="104" t="s">
        <v>580</v>
      </c>
      <c r="O145" s="109" t="s">
        <v>581</v>
      </c>
      <c r="P145" s="112"/>
      <c r="Q145" s="112" t="s">
        <v>67</v>
      </c>
      <c r="R145" s="113">
        <v>1.0</v>
      </c>
      <c r="S145" s="112" t="s">
        <v>67</v>
      </c>
      <c r="T145" s="104"/>
      <c r="U145" s="112"/>
      <c r="V145" s="112" t="s">
        <v>1003</v>
      </c>
      <c r="W145" s="120" t="s">
        <v>1030</v>
      </c>
      <c r="X145" s="116" t="s">
        <v>205</v>
      </c>
      <c r="Y145" s="116" t="s">
        <v>378</v>
      </c>
      <c r="Z145" s="108" t="s">
        <v>966</v>
      </c>
      <c r="AA145" s="112" t="s">
        <v>67</v>
      </c>
      <c r="AB145" s="112" t="s">
        <v>67</v>
      </c>
      <c r="AC145" s="112"/>
      <c r="AD145" s="117" t="s">
        <v>76</v>
      </c>
      <c r="AE145" s="122"/>
      <c r="AF145" s="112" t="s">
        <v>67</v>
      </c>
      <c r="AG145" s="112"/>
      <c r="AH145" s="112">
        <v>25.0</v>
      </c>
      <c r="AI145" s="112">
        <v>19.0</v>
      </c>
      <c r="AJ145" s="112"/>
      <c r="AK145" s="112"/>
      <c r="AL145" s="112"/>
      <c r="AM145" s="112"/>
      <c r="AN145" s="112">
        <v>27.0</v>
      </c>
      <c r="AO145" s="123"/>
      <c r="AP145" s="122"/>
      <c r="AQ145" s="122"/>
      <c r="AR145" s="122"/>
      <c r="AS145" s="122"/>
      <c r="AT145" s="122"/>
    </row>
    <row r="146">
      <c r="A146" s="104" t="s">
        <v>1031</v>
      </c>
      <c r="B146" s="105" t="s">
        <v>872</v>
      </c>
      <c r="C146" s="105" t="s">
        <v>879</v>
      </c>
      <c r="D146" s="105" t="s">
        <v>1025</v>
      </c>
      <c r="E146" s="106" t="s">
        <v>1032</v>
      </c>
      <c r="F146" s="107" t="s">
        <v>1033</v>
      </c>
      <c r="G146" s="105">
        <v>9.45550567E8</v>
      </c>
      <c r="H146" s="108">
        <v>2651.0</v>
      </c>
      <c r="I146" s="108">
        <v>1142.0</v>
      </c>
      <c r="J146" s="108" t="s">
        <v>65</v>
      </c>
      <c r="K146" s="109" t="s">
        <v>1034</v>
      </c>
      <c r="L146" s="109" t="s">
        <v>67</v>
      </c>
      <c r="M146" s="110" t="s">
        <v>884</v>
      </c>
      <c r="N146" s="111" t="s">
        <v>885</v>
      </c>
      <c r="O146" s="109" t="s">
        <v>886</v>
      </c>
      <c r="P146" s="112"/>
      <c r="Q146" s="112" t="s">
        <v>67</v>
      </c>
      <c r="R146" s="113">
        <v>1.0</v>
      </c>
      <c r="S146" s="112" t="s">
        <v>67</v>
      </c>
      <c r="T146" s="114"/>
      <c r="U146" s="112"/>
      <c r="V146" s="112" t="s">
        <v>1035</v>
      </c>
      <c r="W146" s="120" t="s">
        <v>1036</v>
      </c>
      <c r="X146" s="116" t="s">
        <v>205</v>
      </c>
      <c r="Y146" s="116" t="s">
        <v>378</v>
      </c>
      <c r="Z146" s="108" t="s">
        <v>966</v>
      </c>
      <c r="AA146" s="112" t="s">
        <v>67</v>
      </c>
      <c r="AB146" s="112" t="s">
        <v>67</v>
      </c>
      <c r="AC146" s="112"/>
      <c r="AD146" s="117" t="s">
        <v>76</v>
      </c>
      <c r="AE146" s="118"/>
      <c r="AF146" s="112" t="s">
        <v>67</v>
      </c>
      <c r="AG146" s="112"/>
      <c r="AH146" s="112"/>
      <c r="AI146" s="112">
        <v>15.0</v>
      </c>
      <c r="AJ146" s="112"/>
      <c r="AK146" s="112"/>
      <c r="AL146" s="112"/>
      <c r="AM146" s="112"/>
      <c r="AN146" s="112">
        <v>0.0</v>
      </c>
      <c r="AO146" s="119"/>
      <c r="AP146" s="118"/>
      <c r="AQ146" s="118"/>
      <c r="AR146" s="118"/>
      <c r="AS146" s="118"/>
      <c r="AT146" s="118"/>
    </row>
    <row r="147" ht="30.0" customHeight="1">
      <c r="A147" s="104" t="s">
        <v>1037</v>
      </c>
      <c r="B147" s="105" t="s">
        <v>872</v>
      </c>
      <c r="C147" s="105" t="s">
        <v>879</v>
      </c>
      <c r="D147" s="105" t="s">
        <v>1038</v>
      </c>
      <c r="E147" s="106" t="s">
        <v>1039</v>
      </c>
      <c r="F147" s="107" t="s">
        <v>1040</v>
      </c>
      <c r="G147" s="105">
        <v>9.80694456E8</v>
      </c>
      <c r="H147" s="108">
        <v>2933.0</v>
      </c>
      <c r="I147" s="108">
        <v>990.0</v>
      </c>
      <c r="J147" s="108" t="s">
        <v>65</v>
      </c>
      <c r="K147" s="110" t="s">
        <v>1041</v>
      </c>
      <c r="L147" s="109" t="s">
        <v>67</v>
      </c>
      <c r="M147" s="110" t="s">
        <v>884</v>
      </c>
      <c r="N147" s="111" t="s">
        <v>885</v>
      </c>
      <c r="O147" s="109" t="s">
        <v>886</v>
      </c>
      <c r="P147" s="112"/>
      <c r="Q147" s="112" t="s">
        <v>67</v>
      </c>
      <c r="R147" s="113">
        <v>1.0</v>
      </c>
      <c r="S147" s="112" t="s">
        <v>67</v>
      </c>
      <c r="T147" s="114"/>
      <c r="U147" s="112"/>
      <c r="V147" s="112" t="s">
        <v>1042</v>
      </c>
      <c r="W147" s="120" t="s">
        <v>1043</v>
      </c>
      <c r="X147" s="116" t="s">
        <v>205</v>
      </c>
      <c r="Y147" s="116" t="s">
        <v>666</v>
      </c>
      <c r="Z147" s="108" t="s">
        <v>966</v>
      </c>
      <c r="AA147" s="112" t="s">
        <v>74</v>
      </c>
      <c r="AB147" s="112" t="s">
        <v>67</v>
      </c>
      <c r="AC147" s="112"/>
      <c r="AD147" s="117" t="s">
        <v>76</v>
      </c>
      <c r="AE147" s="118"/>
      <c r="AF147" s="112" t="s">
        <v>67</v>
      </c>
      <c r="AG147" s="112"/>
      <c r="AH147" s="112">
        <v>3.0</v>
      </c>
      <c r="AI147" s="112">
        <v>8.0</v>
      </c>
      <c r="AJ147" s="112"/>
      <c r="AK147" s="112"/>
      <c r="AL147" s="112"/>
      <c r="AM147" s="112"/>
      <c r="AN147" s="112">
        <v>0.0</v>
      </c>
      <c r="AO147" s="121"/>
      <c r="AP147" s="118"/>
      <c r="AQ147" s="118"/>
      <c r="AR147" s="118"/>
      <c r="AS147" s="118"/>
      <c r="AT147" s="118"/>
    </row>
    <row r="148" ht="27.0" customHeight="1">
      <c r="A148" s="104" t="s">
        <v>1044</v>
      </c>
      <c r="B148" s="105" t="s">
        <v>872</v>
      </c>
      <c r="C148" s="105" t="s">
        <v>888</v>
      </c>
      <c r="D148" s="105" t="s">
        <v>1045</v>
      </c>
      <c r="E148" s="106" t="s">
        <v>1046</v>
      </c>
      <c r="F148" s="107" t="s">
        <v>1047</v>
      </c>
      <c r="G148" s="105">
        <v>9.48071579E8</v>
      </c>
      <c r="H148" s="108"/>
      <c r="I148" s="108"/>
      <c r="J148" s="108" t="s">
        <v>224</v>
      </c>
      <c r="K148" s="109" t="s">
        <v>1048</v>
      </c>
      <c r="L148" s="109" t="s">
        <v>67</v>
      </c>
      <c r="M148" s="110" t="s">
        <v>579</v>
      </c>
      <c r="N148" s="104" t="s">
        <v>580</v>
      </c>
      <c r="O148" s="109" t="s">
        <v>581</v>
      </c>
      <c r="P148" s="112"/>
      <c r="Q148" s="112" t="s">
        <v>226</v>
      </c>
      <c r="R148" s="113">
        <v>1.0</v>
      </c>
      <c r="S148" s="112" t="s">
        <v>226</v>
      </c>
      <c r="T148" s="114"/>
      <c r="U148" s="112"/>
      <c r="V148" s="112" t="s">
        <v>1042</v>
      </c>
      <c r="W148" s="120" t="s">
        <v>1049</v>
      </c>
      <c r="X148" s="116" t="s">
        <v>205</v>
      </c>
      <c r="Y148" s="116" t="s">
        <v>378</v>
      </c>
      <c r="Z148" s="108" t="s">
        <v>966</v>
      </c>
      <c r="AA148" s="112" t="s">
        <v>74</v>
      </c>
      <c r="AB148" s="112" t="s">
        <v>67</v>
      </c>
      <c r="AC148" s="112"/>
      <c r="AD148" s="117" t="s">
        <v>76</v>
      </c>
      <c r="AE148" s="118"/>
      <c r="AF148" s="112" t="s">
        <v>67</v>
      </c>
      <c r="AG148" s="112"/>
      <c r="AH148" s="112">
        <v>18.0</v>
      </c>
      <c r="AI148" s="112">
        <v>19.0</v>
      </c>
      <c r="AJ148" s="112"/>
      <c r="AK148" s="112"/>
      <c r="AL148" s="112"/>
      <c r="AM148" s="112"/>
      <c r="AN148" s="112">
        <v>0.0</v>
      </c>
      <c r="AO148" s="121"/>
      <c r="AP148" s="118"/>
      <c r="AQ148" s="118"/>
      <c r="AR148" s="118"/>
      <c r="AS148" s="118"/>
      <c r="AT148" s="118"/>
    </row>
    <row r="149">
      <c r="A149" s="104" t="s">
        <v>1050</v>
      </c>
      <c r="B149" s="105" t="s">
        <v>872</v>
      </c>
      <c r="C149" s="105" t="s">
        <v>912</v>
      </c>
      <c r="D149" s="105" t="s">
        <v>1051</v>
      </c>
      <c r="E149" s="106" t="s">
        <v>1052</v>
      </c>
      <c r="F149" s="107" t="s">
        <v>1053</v>
      </c>
      <c r="G149" s="105">
        <v>9.92439801E8</v>
      </c>
      <c r="H149" s="108"/>
      <c r="I149" s="108"/>
      <c r="J149" s="108" t="s">
        <v>224</v>
      </c>
      <c r="K149" s="110" t="s">
        <v>1054</v>
      </c>
      <c r="L149" s="109" t="s">
        <v>74</v>
      </c>
      <c r="M149" s="110" t="s">
        <v>658</v>
      </c>
      <c r="N149" s="111" t="s">
        <v>659</v>
      </c>
      <c r="O149" s="109" t="s">
        <v>660</v>
      </c>
      <c r="P149" s="112"/>
      <c r="Q149" s="112" t="s">
        <v>226</v>
      </c>
      <c r="R149" s="113">
        <v>1.0</v>
      </c>
      <c r="S149" s="112" t="s">
        <v>226</v>
      </c>
      <c r="T149" s="114"/>
      <c r="U149" s="112"/>
      <c r="V149" s="112" t="s">
        <v>1055</v>
      </c>
      <c r="W149" s="120" t="s">
        <v>1056</v>
      </c>
      <c r="X149" s="116" t="s">
        <v>205</v>
      </c>
      <c r="Y149" s="116" t="s">
        <v>378</v>
      </c>
      <c r="Z149" s="108" t="s">
        <v>966</v>
      </c>
      <c r="AA149" s="112" t="s">
        <v>74</v>
      </c>
      <c r="AB149" s="112" t="s">
        <v>67</v>
      </c>
      <c r="AC149" s="112"/>
      <c r="AD149" s="117" t="s">
        <v>76</v>
      </c>
      <c r="AE149" s="118"/>
      <c r="AF149" s="112" t="s">
        <v>67</v>
      </c>
      <c r="AG149" s="112"/>
      <c r="AH149" s="112">
        <v>25.0</v>
      </c>
      <c r="AI149" s="112">
        <v>11.0</v>
      </c>
      <c r="AJ149" s="112"/>
      <c r="AK149" s="112"/>
      <c r="AL149" s="112"/>
      <c r="AM149" s="112"/>
      <c r="AN149" s="112">
        <v>3.0</v>
      </c>
      <c r="AO149" s="121"/>
      <c r="AP149" s="118"/>
      <c r="AQ149" s="118"/>
      <c r="AR149" s="118"/>
      <c r="AS149" s="118"/>
      <c r="AT149" s="118"/>
    </row>
    <row r="150" ht="26.25" customHeight="1">
      <c r="A150" s="104" t="s">
        <v>1057</v>
      </c>
      <c r="B150" s="105" t="s">
        <v>872</v>
      </c>
      <c r="C150" s="105" t="s">
        <v>906</v>
      </c>
      <c r="D150" s="105" t="s">
        <v>1058</v>
      </c>
      <c r="E150" s="106" t="s">
        <v>1059</v>
      </c>
      <c r="F150" s="107" t="s">
        <v>1060</v>
      </c>
      <c r="G150" s="105">
        <v>9.82045843E8</v>
      </c>
      <c r="H150" s="108">
        <v>2720.0</v>
      </c>
      <c r="I150" s="108">
        <v>1189.0</v>
      </c>
      <c r="J150" s="108" t="s">
        <v>65</v>
      </c>
      <c r="K150" s="110" t="s">
        <v>1061</v>
      </c>
      <c r="L150" s="109" t="s">
        <v>67</v>
      </c>
      <c r="M150" s="110" t="s">
        <v>884</v>
      </c>
      <c r="N150" s="111" t="s">
        <v>885</v>
      </c>
      <c r="O150" s="109" t="s">
        <v>886</v>
      </c>
      <c r="P150" s="112"/>
      <c r="Q150" s="112" t="s">
        <v>67</v>
      </c>
      <c r="R150" s="113">
        <v>2.0</v>
      </c>
      <c r="S150" s="112" t="s">
        <v>67</v>
      </c>
      <c r="T150" s="104"/>
      <c r="U150" s="112"/>
      <c r="V150" s="112" t="s">
        <v>970</v>
      </c>
      <c r="W150" s="120" t="s">
        <v>1062</v>
      </c>
      <c r="X150" s="116" t="s">
        <v>205</v>
      </c>
      <c r="Y150" s="116" t="s">
        <v>378</v>
      </c>
      <c r="Z150" s="108" t="s">
        <v>966</v>
      </c>
      <c r="AA150" s="112" t="s">
        <v>74</v>
      </c>
      <c r="AB150" s="112" t="s">
        <v>67</v>
      </c>
      <c r="AC150" s="112"/>
      <c r="AD150" s="117" t="s">
        <v>76</v>
      </c>
      <c r="AE150" s="118"/>
      <c r="AF150" s="112" t="s">
        <v>67</v>
      </c>
      <c r="AG150" s="112"/>
      <c r="AH150" s="112">
        <v>10.0</v>
      </c>
      <c r="AI150" s="112">
        <v>7.0</v>
      </c>
      <c r="AJ150" s="112"/>
      <c r="AK150" s="112"/>
      <c r="AL150" s="112"/>
      <c r="AM150" s="112"/>
      <c r="AN150" s="112">
        <v>0.0</v>
      </c>
      <c r="AO150" s="121"/>
      <c r="AP150" s="118"/>
      <c r="AQ150" s="118"/>
      <c r="AR150" s="118"/>
      <c r="AS150" s="118"/>
      <c r="AT150" s="118"/>
    </row>
    <row r="151" ht="33.0" customHeight="1">
      <c r="A151" s="104" t="s">
        <v>1057</v>
      </c>
      <c r="B151" s="105" t="s">
        <v>872</v>
      </c>
      <c r="C151" s="105" t="s">
        <v>906</v>
      </c>
      <c r="D151" s="105" t="s">
        <v>1058</v>
      </c>
      <c r="E151" s="106" t="s">
        <v>1063</v>
      </c>
      <c r="F151" s="107" t="s">
        <v>1064</v>
      </c>
      <c r="G151" s="105">
        <v>9.26075542E8</v>
      </c>
      <c r="H151" s="108">
        <v>2807.0</v>
      </c>
      <c r="I151" s="108">
        <v>1188.0</v>
      </c>
      <c r="J151" s="108" t="s">
        <v>65</v>
      </c>
      <c r="K151" s="109" t="s">
        <v>1065</v>
      </c>
      <c r="L151" s="109" t="s">
        <v>67</v>
      </c>
      <c r="M151" s="110" t="s">
        <v>884</v>
      </c>
      <c r="N151" s="111" t="s">
        <v>885</v>
      </c>
      <c r="O151" s="109" t="s">
        <v>886</v>
      </c>
      <c r="P151" s="112"/>
      <c r="Q151" s="112" t="s">
        <v>67</v>
      </c>
      <c r="R151" s="113">
        <v>2.0</v>
      </c>
      <c r="S151" s="112" t="s">
        <v>67</v>
      </c>
      <c r="T151" s="104" t="s">
        <v>984</v>
      </c>
      <c r="U151" s="112"/>
      <c r="V151" s="112" t="s">
        <v>1003</v>
      </c>
      <c r="W151" s="120" t="s">
        <v>1062</v>
      </c>
      <c r="X151" s="116" t="s">
        <v>205</v>
      </c>
      <c r="Y151" s="116" t="s">
        <v>378</v>
      </c>
      <c r="Z151" s="108" t="s">
        <v>966</v>
      </c>
      <c r="AA151" s="112" t="s">
        <v>74</v>
      </c>
      <c r="AB151" s="112" t="s">
        <v>67</v>
      </c>
      <c r="AC151" s="112"/>
      <c r="AD151" s="117" t="s">
        <v>76</v>
      </c>
      <c r="AE151" s="118"/>
      <c r="AF151" s="112" t="s">
        <v>67</v>
      </c>
      <c r="AG151" s="112"/>
      <c r="AH151" s="112">
        <v>10.0</v>
      </c>
      <c r="AI151" s="112">
        <v>8.0</v>
      </c>
      <c r="AJ151" s="112"/>
      <c r="AK151" s="112"/>
      <c r="AL151" s="112"/>
      <c r="AM151" s="112"/>
      <c r="AN151" s="112">
        <v>0.0</v>
      </c>
      <c r="AO151" s="121"/>
      <c r="AP151" s="118"/>
      <c r="AQ151" s="118"/>
      <c r="AR151" s="118"/>
      <c r="AS151" s="118"/>
      <c r="AT151" s="118"/>
    </row>
    <row r="152" ht="31.5" customHeight="1">
      <c r="A152" s="104" t="s">
        <v>1066</v>
      </c>
      <c r="B152" s="105" t="s">
        <v>872</v>
      </c>
      <c r="C152" s="105" t="s">
        <v>873</v>
      </c>
      <c r="D152" s="105" t="s">
        <v>1067</v>
      </c>
      <c r="E152" s="106" t="s">
        <v>1068</v>
      </c>
      <c r="F152" s="107" t="s">
        <v>1069</v>
      </c>
      <c r="G152" s="105">
        <v>9.61392824E8</v>
      </c>
      <c r="H152" s="108">
        <v>2671.0</v>
      </c>
      <c r="I152" s="108">
        <v>854.0</v>
      </c>
      <c r="J152" s="108" t="s">
        <v>65</v>
      </c>
      <c r="K152" s="110" t="s">
        <v>1070</v>
      </c>
      <c r="L152" s="109" t="s">
        <v>67</v>
      </c>
      <c r="M152" s="110" t="s">
        <v>579</v>
      </c>
      <c r="N152" s="104" t="s">
        <v>580</v>
      </c>
      <c r="O152" s="109" t="s">
        <v>581</v>
      </c>
      <c r="P152" s="112"/>
      <c r="Q152" s="112" t="s">
        <v>67</v>
      </c>
      <c r="R152" s="113">
        <v>1.0</v>
      </c>
      <c r="S152" s="112" t="s">
        <v>67</v>
      </c>
      <c r="T152" s="114"/>
      <c r="U152" s="112"/>
      <c r="V152" s="112" t="s">
        <v>1035</v>
      </c>
      <c r="W152" s="120" t="s">
        <v>1071</v>
      </c>
      <c r="X152" s="116" t="s">
        <v>205</v>
      </c>
      <c r="Y152" s="116" t="s">
        <v>378</v>
      </c>
      <c r="Z152" s="108" t="s">
        <v>966</v>
      </c>
      <c r="AA152" s="112" t="s">
        <v>74</v>
      </c>
      <c r="AB152" s="112" t="s">
        <v>67</v>
      </c>
      <c r="AC152" s="112"/>
      <c r="AD152" s="117" t="s">
        <v>76</v>
      </c>
      <c r="AE152" s="118"/>
      <c r="AF152" s="112" t="s">
        <v>67</v>
      </c>
      <c r="AG152" s="112"/>
      <c r="AH152" s="112">
        <v>28.0</v>
      </c>
      <c r="AI152" s="112">
        <v>24.0</v>
      </c>
      <c r="AJ152" s="112"/>
      <c r="AK152" s="112"/>
      <c r="AL152" s="112"/>
      <c r="AM152" s="112"/>
      <c r="AN152" s="112">
        <v>0.0</v>
      </c>
      <c r="AO152" s="121"/>
      <c r="AP152" s="118"/>
      <c r="AQ152" s="118"/>
      <c r="AR152" s="118"/>
      <c r="AS152" s="118"/>
      <c r="AT152" s="118"/>
    </row>
    <row r="153" ht="27.0" customHeight="1">
      <c r="A153" s="124" t="s">
        <v>1072</v>
      </c>
      <c r="B153" s="125" t="s">
        <v>1073</v>
      </c>
      <c r="C153" s="125" t="s">
        <v>1074</v>
      </c>
      <c r="D153" s="125" t="s">
        <v>1075</v>
      </c>
      <c r="E153" s="126" t="s">
        <v>1076</v>
      </c>
      <c r="F153" s="127" t="s">
        <v>1077</v>
      </c>
      <c r="G153" s="125">
        <v>9.70808201E8</v>
      </c>
      <c r="H153" s="128"/>
      <c r="I153" s="128"/>
      <c r="J153" s="128" t="s">
        <v>65</v>
      </c>
      <c r="K153" s="129" t="s">
        <v>1078</v>
      </c>
      <c r="L153" s="130" t="s">
        <v>74</v>
      </c>
      <c r="M153" s="129" t="s">
        <v>1079</v>
      </c>
      <c r="N153" s="131" t="s">
        <v>1080</v>
      </c>
      <c r="O153" s="129">
        <v>0.0</v>
      </c>
      <c r="P153" s="132"/>
      <c r="Q153" s="132" t="s">
        <v>67</v>
      </c>
      <c r="R153" s="133">
        <v>1.0</v>
      </c>
      <c r="S153" s="132" t="s">
        <v>67</v>
      </c>
      <c r="T153" s="134"/>
      <c r="U153" s="132"/>
      <c r="V153" s="132" t="s">
        <v>1016</v>
      </c>
      <c r="W153" s="135"/>
      <c r="X153" s="136" t="s">
        <v>205</v>
      </c>
      <c r="Y153" s="136" t="s">
        <v>378</v>
      </c>
      <c r="Z153" s="128" t="s">
        <v>966</v>
      </c>
      <c r="AA153" s="132" t="s">
        <v>74</v>
      </c>
      <c r="AB153" s="132" t="s">
        <v>67</v>
      </c>
      <c r="AC153" s="132"/>
      <c r="AD153" s="137" t="s">
        <v>1081</v>
      </c>
      <c r="AE153" s="138"/>
      <c r="AF153" s="132" t="s">
        <v>74</v>
      </c>
      <c r="AG153" s="132"/>
      <c r="AH153" s="132"/>
      <c r="AI153" s="132"/>
      <c r="AJ153" s="132"/>
      <c r="AK153" s="132"/>
      <c r="AL153" s="132"/>
      <c r="AM153" s="132"/>
      <c r="AN153" s="132">
        <v>0.0</v>
      </c>
      <c r="AO153" s="139"/>
      <c r="AP153" s="138"/>
      <c r="AQ153" s="138"/>
      <c r="AR153" s="138"/>
      <c r="AS153" s="138"/>
      <c r="AT153" s="138"/>
    </row>
    <row r="154" ht="24.75" customHeight="1">
      <c r="A154" s="104" t="s">
        <v>1082</v>
      </c>
      <c r="B154" s="105" t="s">
        <v>1073</v>
      </c>
      <c r="C154" s="105" t="s">
        <v>1074</v>
      </c>
      <c r="D154" s="105" t="s">
        <v>1083</v>
      </c>
      <c r="E154" s="106" t="s">
        <v>1084</v>
      </c>
      <c r="F154" s="107" t="s">
        <v>1085</v>
      </c>
      <c r="G154" s="105">
        <v>9.76032459E8</v>
      </c>
      <c r="H154" s="108"/>
      <c r="I154" s="108"/>
      <c r="J154" s="108" t="s">
        <v>65</v>
      </c>
      <c r="K154" s="109" t="s">
        <v>1086</v>
      </c>
      <c r="L154" s="109" t="s">
        <v>67</v>
      </c>
      <c r="M154" s="110" t="s">
        <v>1079</v>
      </c>
      <c r="N154" s="111" t="s">
        <v>1080</v>
      </c>
      <c r="O154" s="110">
        <v>0.0</v>
      </c>
      <c r="P154" s="112"/>
      <c r="Q154" s="112" t="s">
        <v>67</v>
      </c>
      <c r="R154" s="113">
        <v>2.0</v>
      </c>
      <c r="S154" s="112" t="s">
        <v>67</v>
      </c>
      <c r="T154" s="104" t="s">
        <v>1087</v>
      </c>
      <c r="U154" s="112"/>
      <c r="V154" s="112" t="s">
        <v>1003</v>
      </c>
      <c r="W154" s="120" t="s">
        <v>1088</v>
      </c>
      <c r="X154" s="116" t="s">
        <v>205</v>
      </c>
      <c r="Y154" s="116" t="s">
        <v>992</v>
      </c>
      <c r="Z154" s="108" t="s">
        <v>966</v>
      </c>
      <c r="AA154" s="112" t="s">
        <v>74</v>
      </c>
      <c r="AB154" s="112" t="s">
        <v>67</v>
      </c>
      <c r="AC154" s="112"/>
      <c r="AD154" s="117" t="s">
        <v>76</v>
      </c>
      <c r="AE154" s="118"/>
      <c r="AF154" s="112" t="s">
        <v>67</v>
      </c>
      <c r="AG154" s="112"/>
      <c r="AH154" s="112">
        <v>4.0</v>
      </c>
      <c r="AI154" s="112"/>
      <c r="AJ154" s="112"/>
      <c r="AK154" s="112"/>
      <c r="AL154" s="112"/>
      <c r="AM154" s="112"/>
      <c r="AN154" s="112">
        <v>0.0</v>
      </c>
      <c r="AO154" s="121"/>
      <c r="AP154" s="118"/>
      <c r="AQ154" s="118"/>
      <c r="AR154" s="118"/>
      <c r="AS154" s="118"/>
      <c r="AT154" s="118"/>
    </row>
    <row r="155" ht="22.5" customHeight="1">
      <c r="A155" s="104" t="s">
        <v>1082</v>
      </c>
      <c r="B155" s="105" t="s">
        <v>1073</v>
      </c>
      <c r="C155" s="105" t="s">
        <v>1074</v>
      </c>
      <c r="D155" s="105" t="s">
        <v>1083</v>
      </c>
      <c r="E155" s="106" t="s">
        <v>1089</v>
      </c>
      <c r="F155" s="140" t="s">
        <v>1090</v>
      </c>
      <c r="G155" s="105">
        <v>9.55909086E8</v>
      </c>
      <c r="H155" s="108">
        <v>2579.0</v>
      </c>
      <c r="I155" s="108">
        <v>739.0</v>
      </c>
      <c r="J155" s="108" t="s">
        <v>65</v>
      </c>
      <c r="K155" s="110" t="s">
        <v>1091</v>
      </c>
      <c r="L155" s="109" t="s">
        <v>67</v>
      </c>
      <c r="M155" s="110" t="s">
        <v>1079</v>
      </c>
      <c r="N155" s="111" t="s">
        <v>1080</v>
      </c>
      <c r="O155" s="110">
        <v>0.0</v>
      </c>
      <c r="P155" s="112"/>
      <c r="Q155" s="112" t="s">
        <v>67</v>
      </c>
      <c r="R155" s="113">
        <v>2.0</v>
      </c>
      <c r="S155" s="112" t="s">
        <v>67</v>
      </c>
      <c r="T155" s="104" t="s">
        <v>1087</v>
      </c>
      <c r="U155" s="112"/>
      <c r="V155" s="112" t="s">
        <v>970</v>
      </c>
      <c r="W155" s="120" t="s">
        <v>1092</v>
      </c>
      <c r="X155" s="116" t="s">
        <v>205</v>
      </c>
      <c r="Y155" s="116" t="s">
        <v>992</v>
      </c>
      <c r="Z155" s="108" t="s">
        <v>966</v>
      </c>
      <c r="AA155" s="112" t="s">
        <v>74</v>
      </c>
      <c r="AB155" s="112" t="s">
        <v>67</v>
      </c>
      <c r="AC155" s="112"/>
      <c r="AD155" s="117" t="s">
        <v>76</v>
      </c>
      <c r="AE155" s="118"/>
      <c r="AF155" s="112" t="s">
        <v>67</v>
      </c>
      <c r="AG155" s="112"/>
      <c r="AH155" s="112">
        <v>4.0</v>
      </c>
      <c r="AI155" s="112"/>
      <c r="AJ155" s="112"/>
      <c r="AK155" s="112"/>
      <c r="AL155" s="112"/>
      <c r="AM155" s="112"/>
      <c r="AN155" s="112">
        <v>0.0</v>
      </c>
      <c r="AO155" s="121"/>
      <c r="AP155" s="118"/>
      <c r="AQ155" s="118"/>
      <c r="AR155" s="118"/>
      <c r="AS155" s="118"/>
      <c r="AT155" s="118"/>
    </row>
    <row r="156">
      <c r="A156" s="104" t="s">
        <v>1093</v>
      </c>
      <c r="B156" s="105" t="s">
        <v>1073</v>
      </c>
      <c r="C156" s="105" t="s">
        <v>1094</v>
      </c>
      <c r="D156" s="105" t="s">
        <v>1095</v>
      </c>
      <c r="E156" s="106" t="s">
        <v>1096</v>
      </c>
      <c r="F156" s="107" t="s">
        <v>1097</v>
      </c>
      <c r="G156" s="105">
        <v>9.92163545E8</v>
      </c>
      <c r="H156" s="108">
        <v>2569.0</v>
      </c>
      <c r="I156" s="108">
        <v>736.0</v>
      </c>
      <c r="J156" s="108" t="s">
        <v>65</v>
      </c>
      <c r="K156" s="109" t="s">
        <v>1098</v>
      </c>
      <c r="L156" s="109" t="s">
        <v>67</v>
      </c>
      <c r="M156" s="110" t="s">
        <v>1099</v>
      </c>
      <c r="N156" s="111" t="s">
        <v>1100</v>
      </c>
      <c r="O156" s="110">
        <v>0.0</v>
      </c>
      <c r="P156" s="112"/>
      <c r="Q156" s="112" t="s">
        <v>67</v>
      </c>
      <c r="R156" s="113">
        <v>1.0</v>
      </c>
      <c r="S156" s="112" t="s">
        <v>67</v>
      </c>
      <c r="T156" s="114"/>
      <c r="U156" s="112"/>
      <c r="V156" s="112" t="s">
        <v>1003</v>
      </c>
      <c r="W156" s="120" t="s">
        <v>1101</v>
      </c>
      <c r="X156" s="116" t="s">
        <v>205</v>
      </c>
      <c r="Y156" s="116" t="s">
        <v>378</v>
      </c>
      <c r="Z156" s="108" t="s">
        <v>966</v>
      </c>
      <c r="AA156" s="112" t="s">
        <v>74</v>
      </c>
      <c r="AB156" s="112" t="s">
        <v>67</v>
      </c>
      <c r="AC156" s="112"/>
      <c r="AD156" s="117" t="s">
        <v>76</v>
      </c>
      <c r="AE156" s="118"/>
      <c r="AF156" s="112" t="s">
        <v>67</v>
      </c>
      <c r="AG156" s="112"/>
      <c r="AH156" s="112">
        <v>15.0</v>
      </c>
      <c r="AI156" s="112">
        <v>12.0</v>
      </c>
      <c r="AJ156" s="112"/>
      <c r="AK156" s="112"/>
      <c r="AL156" s="112"/>
      <c r="AM156" s="112"/>
      <c r="AN156" s="112">
        <v>1.0</v>
      </c>
      <c r="AO156" s="119"/>
      <c r="AP156" s="118"/>
      <c r="AQ156" s="118"/>
      <c r="AR156" s="118"/>
      <c r="AS156" s="118"/>
      <c r="AT156" s="118"/>
    </row>
    <row r="157" ht="27.75" customHeight="1">
      <c r="A157" s="104" t="s">
        <v>1102</v>
      </c>
      <c r="B157" s="105" t="s">
        <v>1073</v>
      </c>
      <c r="C157" s="105" t="s">
        <v>1074</v>
      </c>
      <c r="D157" s="105" t="s">
        <v>1103</v>
      </c>
      <c r="E157" s="106" t="s">
        <v>1104</v>
      </c>
      <c r="F157" s="107" t="s">
        <v>1105</v>
      </c>
      <c r="G157" s="105">
        <v>9.64074871E8</v>
      </c>
      <c r="H157" s="108"/>
      <c r="I157" s="108"/>
      <c r="J157" s="108" t="s">
        <v>65</v>
      </c>
      <c r="K157" s="110" t="s">
        <v>1106</v>
      </c>
      <c r="L157" s="109" t="s">
        <v>67</v>
      </c>
      <c r="M157" s="110" t="s">
        <v>1099</v>
      </c>
      <c r="N157" s="111" t="s">
        <v>1100</v>
      </c>
      <c r="O157" s="110">
        <v>0.0</v>
      </c>
      <c r="P157" s="112"/>
      <c r="Q157" s="112" t="s">
        <v>67</v>
      </c>
      <c r="R157" s="113">
        <v>2.0</v>
      </c>
      <c r="S157" s="112" t="s">
        <v>67</v>
      </c>
      <c r="T157" s="114"/>
      <c r="U157" s="112"/>
      <c r="V157" s="112" t="s">
        <v>970</v>
      </c>
      <c r="W157" s="120" t="s">
        <v>1107</v>
      </c>
      <c r="X157" s="116" t="s">
        <v>205</v>
      </c>
      <c r="Y157" s="116" t="s">
        <v>378</v>
      </c>
      <c r="Z157" s="108" t="s">
        <v>966</v>
      </c>
      <c r="AA157" s="112" t="s">
        <v>74</v>
      </c>
      <c r="AB157" s="112" t="s">
        <v>67</v>
      </c>
      <c r="AC157" s="112"/>
      <c r="AD157" s="117" t="s">
        <v>76</v>
      </c>
      <c r="AE157" s="118"/>
      <c r="AF157" s="112" t="s">
        <v>67</v>
      </c>
      <c r="AG157" s="112"/>
      <c r="AH157" s="112">
        <v>24.0</v>
      </c>
      <c r="AI157" s="112">
        <v>20.0</v>
      </c>
      <c r="AJ157" s="112"/>
      <c r="AK157" s="112"/>
      <c r="AL157" s="112"/>
      <c r="AM157" s="112"/>
      <c r="AN157" s="112">
        <v>0.0</v>
      </c>
      <c r="AO157" s="121"/>
      <c r="AP157" s="118"/>
      <c r="AQ157" s="118"/>
      <c r="AR157" s="118"/>
      <c r="AS157" s="118"/>
      <c r="AT157" s="118"/>
    </row>
    <row r="158" ht="32.25" customHeight="1">
      <c r="A158" s="104" t="s">
        <v>1108</v>
      </c>
      <c r="B158" s="105" t="s">
        <v>1073</v>
      </c>
      <c r="C158" s="105" t="s">
        <v>1094</v>
      </c>
      <c r="D158" s="105" t="s">
        <v>1109</v>
      </c>
      <c r="E158" s="106" t="s">
        <v>1110</v>
      </c>
      <c r="F158" s="107" t="s">
        <v>1111</v>
      </c>
      <c r="G158" s="105">
        <v>9.16006304E8</v>
      </c>
      <c r="H158" s="108">
        <v>2565.0</v>
      </c>
      <c r="I158" s="108">
        <v>732.0</v>
      </c>
      <c r="J158" s="108" t="s">
        <v>65</v>
      </c>
      <c r="K158" s="110" t="s">
        <v>1112</v>
      </c>
      <c r="L158" s="109" t="s">
        <v>74</v>
      </c>
      <c r="M158" s="110" t="s">
        <v>1113</v>
      </c>
      <c r="N158" s="111" t="s">
        <v>1114</v>
      </c>
      <c r="O158" s="109" t="s">
        <v>1115</v>
      </c>
      <c r="P158" s="112"/>
      <c r="Q158" s="112" t="s">
        <v>67</v>
      </c>
      <c r="R158" s="113">
        <v>1.0</v>
      </c>
      <c r="S158" s="112" t="s">
        <v>67</v>
      </c>
      <c r="T158" s="114"/>
      <c r="U158" s="112"/>
      <c r="V158" s="112" t="s">
        <v>1042</v>
      </c>
      <c r="W158" s="120" t="s">
        <v>1116</v>
      </c>
      <c r="X158" s="116" t="s">
        <v>205</v>
      </c>
      <c r="Y158" s="116" t="s">
        <v>378</v>
      </c>
      <c r="Z158" s="108" t="s">
        <v>966</v>
      </c>
      <c r="AA158" s="112" t="s">
        <v>74</v>
      </c>
      <c r="AB158" s="112" t="s">
        <v>67</v>
      </c>
      <c r="AC158" s="112"/>
      <c r="AD158" s="117" t="s">
        <v>76</v>
      </c>
      <c r="AE158" s="118"/>
      <c r="AF158" s="112" t="s">
        <v>67</v>
      </c>
      <c r="AG158" s="112"/>
      <c r="AH158" s="112">
        <v>14.0</v>
      </c>
      <c r="AI158" s="112">
        <v>5.0</v>
      </c>
      <c r="AJ158" s="112"/>
      <c r="AK158" s="112"/>
      <c r="AL158" s="112"/>
      <c r="AM158" s="112"/>
      <c r="AN158" s="112">
        <v>0.0</v>
      </c>
      <c r="AO158" s="121"/>
      <c r="AP158" s="118"/>
      <c r="AQ158" s="118"/>
      <c r="AR158" s="118"/>
      <c r="AS158" s="118"/>
      <c r="AT158" s="118"/>
    </row>
    <row r="159">
      <c r="A159" s="141" t="s">
        <v>1117</v>
      </c>
      <c r="B159" s="142" t="s">
        <v>1073</v>
      </c>
      <c r="C159" s="142" t="s">
        <v>1118</v>
      </c>
      <c r="D159" s="142" t="s">
        <v>1119</v>
      </c>
      <c r="E159" s="143" t="s">
        <v>1120</v>
      </c>
      <c r="F159" s="144" t="s">
        <v>1121</v>
      </c>
      <c r="G159" s="142">
        <v>9.53413003E8</v>
      </c>
      <c r="H159" s="145">
        <v>2578.0</v>
      </c>
      <c r="I159" s="145">
        <v>740.0</v>
      </c>
      <c r="J159" s="145" t="s">
        <v>65</v>
      </c>
      <c r="K159" s="146" t="s">
        <v>1122</v>
      </c>
      <c r="L159" s="146" t="s">
        <v>67</v>
      </c>
      <c r="M159" s="147" t="s">
        <v>1079</v>
      </c>
      <c r="N159" s="148" t="s">
        <v>1080</v>
      </c>
      <c r="O159" s="147">
        <v>0.0</v>
      </c>
      <c r="P159" s="149"/>
      <c r="Q159" s="149" t="s">
        <v>67</v>
      </c>
      <c r="R159" s="150">
        <v>1.0</v>
      </c>
      <c r="S159" s="149" t="s">
        <v>67</v>
      </c>
      <c r="T159" s="141"/>
      <c r="U159" s="149"/>
      <c r="V159" s="149" t="s">
        <v>1042</v>
      </c>
      <c r="W159" s="151"/>
      <c r="X159" s="152" t="s">
        <v>205</v>
      </c>
      <c r="Y159" s="152"/>
      <c r="Z159" s="145" t="s">
        <v>966</v>
      </c>
      <c r="AA159" s="149" t="s">
        <v>67</v>
      </c>
      <c r="AB159" s="149" t="s">
        <v>67</v>
      </c>
      <c r="AC159" s="149" t="s">
        <v>96</v>
      </c>
      <c r="AD159" s="153" t="s">
        <v>76</v>
      </c>
      <c r="AE159" s="154"/>
      <c r="AF159" s="149" t="s">
        <v>67</v>
      </c>
      <c r="AG159" s="149"/>
      <c r="AH159" s="149">
        <v>5.0</v>
      </c>
      <c r="AI159" s="149"/>
      <c r="AJ159" s="149"/>
      <c r="AK159" s="149"/>
      <c r="AL159" s="149"/>
      <c r="AM159" s="149"/>
      <c r="AN159" s="149">
        <v>0.0</v>
      </c>
      <c r="AO159" s="155"/>
      <c r="AP159" s="154"/>
      <c r="AQ159" s="154"/>
      <c r="AR159" s="154"/>
      <c r="AS159" s="154"/>
      <c r="AT159" s="154"/>
    </row>
    <row r="160" ht="25.5" customHeight="1">
      <c r="A160" s="104" t="s">
        <v>1123</v>
      </c>
      <c r="B160" s="105" t="s">
        <v>1073</v>
      </c>
      <c r="C160" s="105" t="s">
        <v>1074</v>
      </c>
      <c r="D160" s="105" t="s">
        <v>1124</v>
      </c>
      <c r="E160" s="106" t="s">
        <v>1125</v>
      </c>
      <c r="F160" s="107" t="s">
        <v>1126</v>
      </c>
      <c r="G160" s="105">
        <v>9.63607776E8</v>
      </c>
      <c r="H160" s="108"/>
      <c r="I160" s="108"/>
      <c r="J160" s="108" t="s">
        <v>65</v>
      </c>
      <c r="K160" s="110" t="s">
        <v>1127</v>
      </c>
      <c r="L160" s="109" t="s">
        <v>67</v>
      </c>
      <c r="M160" s="110" t="s">
        <v>1099</v>
      </c>
      <c r="N160" s="111" t="s">
        <v>1100</v>
      </c>
      <c r="O160" s="110">
        <v>0.0</v>
      </c>
      <c r="P160" s="112"/>
      <c r="Q160" s="112" t="s">
        <v>67</v>
      </c>
      <c r="R160" s="113">
        <v>2.0</v>
      </c>
      <c r="S160" s="112" t="s">
        <v>67</v>
      </c>
      <c r="T160" s="114"/>
      <c r="U160" s="112"/>
      <c r="V160" s="112" t="s">
        <v>970</v>
      </c>
      <c r="W160" s="120" t="s">
        <v>1128</v>
      </c>
      <c r="X160" s="116" t="s">
        <v>205</v>
      </c>
      <c r="Y160" s="116" t="s">
        <v>378</v>
      </c>
      <c r="Z160" s="108" t="s">
        <v>966</v>
      </c>
      <c r="AA160" s="112" t="s">
        <v>74</v>
      </c>
      <c r="AB160" s="112" t="s">
        <v>67</v>
      </c>
      <c r="AC160" s="112"/>
      <c r="AD160" s="117" t="s">
        <v>76</v>
      </c>
      <c r="AE160" s="118"/>
      <c r="AF160" s="112" t="s">
        <v>67</v>
      </c>
      <c r="AG160" s="112"/>
      <c r="AH160" s="112">
        <v>13.0</v>
      </c>
      <c r="AI160" s="112">
        <v>13.0</v>
      </c>
      <c r="AJ160" s="112"/>
      <c r="AK160" s="112"/>
      <c r="AL160" s="112"/>
      <c r="AM160" s="112"/>
      <c r="AN160" s="112">
        <v>0.0</v>
      </c>
      <c r="AO160" s="121"/>
      <c r="AP160" s="118"/>
      <c r="AQ160" s="118"/>
      <c r="AR160" s="118"/>
      <c r="AS160" s="118"/>
      <c r="AT160" s="118"/>
    </row>
    <row r="161">
      <c r="A161" s="104" t="s">
        <v>1123</v>
      </c>
      <c r="B161" s="105" t="s">
        <v>1073</v>
      </c>
      <c r="C161" s="105" t="s">
        <v>1074</v>
      </c>
      <c r="D161" s="105" t="s">
        <v>1124</v>
      </c>
      <c r="E161" s="106" t="s">
        <v>1129</v>
      </c>
      <c r="F161" s="107" t="s">
        <v>1130</v>
      </c>
      <c r="G161" s="105">
        <v>9.18069581E8</v>
      </c>
      <c r="H161" s="108">
        <v>2932.0</v>
      </c>
      <c r="I161" s="108">
        <v>1061.0</v>
      </c>
      <c r="J161" s="108" t="s">
        <v>65</v>
      </c>
      <c r="K161" s="110" t="s">
        <v>1131</v>
      </c>
      <c r="L161" s="109" t="s">
        <v>67</v>
      </c>
      <c r="M161" s="110" t="s">
        <v>1099</v>
      </c>
      <c r="N161" s="111" t="s">
        <v>1100</v>
      </c>
      <c r="O161" s="110">
        <v>0.0</v>
      </c>
      <c r="P161" s="112"/>
      <c r="Q161" s="112" t="s">
        <v>67</v>
      </c>
      <c r="R161" s="113">
        <v>2.0</v>
      </c>
      <c r="S161" s="112" t="s">
        <v>67</v>
      </c>
      <c r="T161" s="114"/>
      <c r="U161" s="112"/>
      <c r="V161" s="112" t="s">
        <v>970</v>
      </c>
      <c r="W161" s="120" t="s">
        <v>1132</v>
      </c>
      <c r="X161" s="116" t="s">
        <v>205</v>
      </c>
      <c r="Y161" s="116" t="s">
        <v>378</v>
      </c>
      <c r="Z161" s="108" t="s">
        <v>966</v>
      </c>
      <c r="AA161" s="112" t="s">
        <v>74</v>
      </c>
      <c r="AB161" s="112" t="s">
        <v>67</v>
      </c>
      <c r="AC161" s="112"/>
      <c r="AD161" s="117" t="s">
        <v>76</v>
      </c>
      <c r="AE161" s="118"/>
      <c r="AF161" s="112" t="s">
        <v>67</v>
      </c>
      <c r="AG161" s="112"/>
      <c r="AH161" s="112">
        <v>13.0</v>
      </c>
      <c r="AI161" s="112">
        <v>12.0</v>
      </c>
      <c r="AJ161" s="112"/>
      <c r="AK161" s="112"/>
      <c r="AL161" s="112"/>
      <c r="AM161" s="112"/>
      <c r="AN161" s="112">
        <v>0.0</v>
      </c>
      <c r="AO161" s="119"/>
      <c r="AP161" s="118"/>
      <c r="AQ161" s="118"/>
      <c r="AR161" s="118"/>
      <c r="AS161" s="118"/>
      <c r="AT161" s="118"/>
    </row>
    <row r="162" ht="28.5" customHeight="1">
      <c r="A162" s="104" t="s">
        <v>1133</v>
      </c>
      <c r="B162" s="105" t="s">
        <v>1073</v>
      </c>
      <c r="C162" s="105" t="s">
        <v>1134</v>
      </c>
      <c r="D162" s="105" t="s">
        <v>1135</v>
      </c>
      <c r="E162" s="106" t="s">
        <v>1136</v>
      </c>
      <c r="F162" s="107" t="s">
        <v>1137</v>
      </c>
      <c r="G162" s="105">
        <v>9.31654357E8</v>
      </c>
      <c r="H162" s="108">
        <v>2572.0</v>
      </c>
      <c r="I162" s="108">
        <v>746.0</v>
      </c>
      <c r="J162" s="108" t="s">
        <v>65</v>
      </c>
      <c r="K162" s="109" t="s">
        <v>1138</v>
      </c>
      <c r="L162" s="109" t="s">
        <v>74</v>
      </c>
      <c r="M162" s="110" t="s">
        <v>1079</v>
      </c>
      <c r="N162" s="111" t="s">
        <v>1080</v>
      </c>
      <c r="O162" s="110">
        <v>0.0</v>
      </c>
      <c r="P162" s="112"/>
      <c r="Q162" s="112" t="s">
        <v>67</v>
      </c>
      <c r="R162" s="113">
        <v>1.0</v>
      </c>
      <c r="S162" s="112" t="s">
        <v>67</v>
      </c>
      <c r="T162" s="114"/>
      <c r="U162" s="112"/>
      <c r="V162" s="112" t="s">
        <v>608</v>
      </c>
      <c r="W162" s="120" t="s">
        <v>1139</v>
      </c>
      <c r="X162" s="116" t="s">
        <v>205</v>
      </c>
      <c r="Y162" s="116" t="s">
        <v>378</v>
      </c>
      <c r="Z162" s="108" t="s">
        <v>966</v>
      </c>
      <c r="AA162" s="112" t="s">
        <v>74</v>
      </c>
      <c r="AB162" s="112" t="s">
        <v>67</v>
      </c>
      <c r="AC162" s="112"/>
      <c r="AD162" s="117" t="s">
        <v>76</v>
      </c>
      <c r="AE162" s="118"/>
      <c r="AF162" s="112" t="s">
        <v>67</v>
      </c>
      <c r="AG162" s="112"/>
      <c r="AH162" s="112">
        <v>6.0</v>
      </c>
      <c r="AI162" s="112">
        <v>5.0</v>
      </c>
      <c r="AJ162" s="112"/>
      <c r="AK162" s="112"/>
      <c r="AL162" s="112"/>
      <c r="AM162" s="112"/>
      <c r="AN162" s="112">
        <v>0.0</v>
      </c>
      <c r="AO162" s="121"/>
      <c r="AP162" s="118"/>
      <c r="AQ162" s="118"/>
      <c r="AR162" s="118"/>
      <c r="AS162" s="118"/>
      <c r="AT162" s="118"/>
    </row>
    <row r="163" ht="24.0" customHeight="1">
      <c r="A163" s="104" t="s">
        <v>1140</v>
      </c>
      <c r="B163" s="105" t="s">
        <v>1141</v>
      </c>
      <c r="C163" s="105" t="s">
        <v>1142</v>
      </c>
      <c r="D163" s="105" t="s">
        <v>1143</v>
      </c>
      <c r="E163" s="106" t="s">
        <v>1144</v>
      </c>
      <c r="F163" s="107" t="s">
        <v>1145</v>
      </c>
      <c r="G163" s="105">
        <v>9.66833706E8</v>
      </c>
      <c r="H163" s="108">
        <v>2973.0</v>
      </c>
      <c r="I163" s="108">
        <v>1177.0</v>
      </c>
      <c r="J163" s="108" t="s">
        <v>65</v>
      </c>
      <c r="K163" s="110" t="s">
        <v>1146</v>
      </c>
      <c r="L163" s="109" t="s">
        <v>74</v>
      </c>
      <c r="M163" s="110" t="s">
        <v>1147</v>
      </c>
      <c r="N163" s="111" t="s">
        <v>1148</v>
      </c>
      <c r="O163" s="109" t="s">
        <v>1149</v>
      </c>
      <c r="P163" s="112"/>
      <c r="Q163" s="112" t="s">
        <v>67</v>
      </c>
      <c r="R163" s="113">
        <v>1.0</v>
      </c>
      <c r="S163" s="112" t="s">
        <v>67</v>
      </c>
      <c r="T163" s="114"/>
      <c r="U163" s="112"/>
      <c r="V163" s="112" t="s">
        <v>1003</v>
      </c>
      <c r="W163" s="120" t="s">
        <v>1150</v>
      </c>
      <c r="X163" s="116" t="s">
        <v>205</v>
      </c>
      <c r="Y163" s="116" t="s">
        <v>378</v>
      </c>
      <c r="Z163" s="108" t="s">
        <v>966</v>
      </c>
      <c r="AA163" s="112" t="s">
        <v>74</v>
      </c>
      <c r="AB163" s="112" t="s">
        <v>67</v>
      </c>
      <c r="AC163" s="112"/>
      <c r="AD163" s="117" t="s">
        <v>76</v>
      </c>
      <c r="AE163" s="118"/>
      <c r="AF163" s="112" t="s">
        <v>67</v>
      </c>
      <c r="AG163" s="112"/>
      <c r="AH163" s="112"/>
      <c r="AI163" s="112">
        <v>6.0</v>
      </c>
      <c r="AJ163" s="112"/>
      <c r="AK163" s="112"/>
      <c r="AL163" s="112"/>
      <c r="AM163" s="112"/>
      <c r="AN163" s="112">
        <v>2.0</v>
      </c>
      <c r="AO163" s="121"/>
      <c r="AP163" s="118"/>
      <c r="AQ163" s="118"/>
      <c r="AR163" s="118"/>
      <c r="AS163" s="118"/>
      <c r="AT163" s="118"/>
    </row>
    <row r="164" ht="27.0" customHeight="1">
      <c r="A164" s="104" t="s">
        <v>1140</v>
      </c>
      <c r="B164" s="105" t="s">
        <v>1141</v>
      </c>
      <c r="C164" s="105" t="s">
        <v>1142</v>
      </c>
      <c r="D164" s="105" t="s">
        <v>1143</v>
      </c>
      <c r="E164" s="106" t="s">
        <v>1151</v>
      </c>
      <c r="F164" s="107" t="s">
        <v>1152</v>
      </c>
      <c r="G164" s="105">
        <v>9.47304907E8</v>
      </c>
      <c r="H164" s="108">
        <v>2975.0</v>
      </c>
      <c r="I164" s="108">
        <v>1178.0</v>
      </c>
      <c r="J164" s="108" t="s">
        <v>65</v>
      </c>
      <c r="K164" s="109" t="s">
        <v>1153</v>
      </c>
      <c r="L164" s="109" t="s">
        <v>74</v>
      </c>
      <c r="M164" s="110" t="s">
        <v>1147</v>
      </c>
      <c r="N164" s="111" t="s">
        <v>1148</v>
      </c>
      <c r="O164" s="110" t="s">
        <v>1149</v>
      </c>
      <c r="P164" s="112"/>
      <c r="Q164" s="112" t="s">
        <v>67</v>
      </c>
      <c r="R164" s="113">
        <v>1.0</v>
      </c>
      <c r="S164" s="112" t="s">
        <v>67</v>
      </c>
      <c r="T164" s="114"/>
      <c r="U164" s="112"/>
      <c r="V164" s="112" t="s">
        <v>1003</v>
      </c>
      <c r="W164" s="120" t="s">
        <v>1154</v>
      </c>
      <c r="X164" s="116" t="s">
        <v>205</v>
      </c>
      <c r="Y164" s="116" t="s">
        <v>378</v>
      </c>
      <c r="Z164" s="108" t="s">
        <v>966</v>
      </c>
      <c r="AA164" s="112" t="s">
        <v>74</v>
      </c>
      <c r="AB164" s="112" t="s">
        <v>67</v>
      </c>
      <c r="AC164" s="112"/>
      <c r="AD164" s="117" t="s">
        <v>76</v>
      </c>
      <c r="AE164" s="118"/>
      <c r="AF164" s="112" t="s">
        <v>67</v>
      </c>
      <c r="AG164" s="112"/>
      <c r="AH164" s="112"/>
      <c r="AI164" s="112">
        <v>7.0</v>
      </c>
      <c r="AJ164" s="112"/>
      <c r="AK164" s="112"/>
      <c r="AL164" s="112"/>
      <c r="AM164" s="112"/>
      <c r="AN164" s="112">
        <v>0.0</v>
      </c>
      <c r="AO164" s="121"/>
      <c r="AP164" s="118"/>
      <c r="AQ164" s="118"/>
      <c r="AR164" s="118"/>
      <c r="AS164" s="118"/>
      <c r="AT164" s="118"/>
    </row>
    <row r="165" ht="29.25" customHeight="1">
      <c r="A165" s="104" t="s">
        <v>1155</v>
      </c>
      <c r="B165" s="105" t="s">
        <v>1141</v>
      </c>
      <c r="C165" s="105" t="s">
        <v>1156</v>
      </c>
      <c r="D165" s="105" t="s">
        <v>1157</v>
      </c>
      <c r="E165" s="106" t="s">
        <v>1158</v>
      </c>
      <c r="F165" s="107" t="s">
        <v>1159</v>
      </c>
      <c r="G165" s="105">
        <v>9.14994242E8</v>
      </c>
      <c r="H165" s="108">
        <v>2610.0</v>
      </c>
      <c r="I165" s="108">
        <v>1131.0</v>
      </c>
      <c r="J165" s="108" t="s">
        <v>65</v>
      </c>
      <c r="K165" s="110" t="s">
        <v>1160</v>
      </c>
      <c r="L165" s="109" t="s">
        <v>74</v>
      </c>
      <c r="M165" s="110" t="s">
        <v>1147</v>
      </c>
      <c r="N165" s="111" t="s">
        <v>1148</v>
      </c>
      <c r="O165" s="110" t="s">
        <v>1149</v>
      </c>
      <c r="P165" s="112"/>
      <c r="Q165" s="112" t="s">
        <v>67</v>
      </c>
      <c r="R165" s="113">
        <v>1.0</v>
      </c>
      <c r="S165" s="112" t="s">
        <v>67</v>
      </c>
      <c r="T165" s="114"/>
      <c r="U165" s="112"/>
      <c r="V165" s="112" t="s">
        <v>970</v>
      </c>
      <c r="W165" s="120" t="s">
        <v>1161</v>
      </c>
      <c r="X165" s="116" t="s">
        <v>205</v>
      </c>
      <c r="Y165" s="116" t="s">
        <v>378</v>
      </c>
      <c r="Z165" s="108" t="s">
        <v>966</v>
      </c>
      <c r="AA165" s="112" t="s">
        <v>67</v>
      </c>
      <c r="AB165" s="112" t="s">
        <v>67</v>
      </c>
      <c r="AC165" s="112"/>
      <c r="AD165" s="117" t="s">
        <v>76</v>
      </c>
      <c r="AE165" s="118"/>
      <c r="AF165" s="112" t="s">
        <v>67</v>
      </c>
      <c r="AG165" s="112"/>
      <c r="AH165" s="112">
        <v>15.0</v>
      </c>
      <c r="AI165" s="112">
        <v>24.0</v>
      </c>
      <c r="AJ165" s="112"/>
      <c r="AK165" s="112"/>
      <c r="AL165" s="112"/>
      <c r="AM165" s="112"/>
      <c r="AN165" s="112">
        <v>0.0</v>
      </c>
      <c r="AO165" s="121"/>
      <c r="AP165" s="118"/>
      <c r="AQ165" s="118"/>
      <c r="AR165" s="118"/>
      <c r="AS165" s="118"/>
      <c r="AT165" s="118"/>
    </row>
    <row r="166" ht="27.75" customHeight="1">
      <c r="A166" s="104" t="s">
        <v>1162</v>
      </c>
      <c r="B166" s="105" t="s">
        <v>1141</v>
      </c>
      <c r="C166" s="105" t="s">
        <v>1163</v>
      </c>
      <c r="D166" s="105" t="s">
        <v>1164</v>
      </c>
      <c r="E166" s="106" t="s">
        <v>1165</v>
      </c>
      <c r="F166" s="107" t="s">
        <v>1166</v>
      </c>
      <c r="G166" s="105">
        <v>9.0130112E8</v>
      </c>
      <c r="H166" s="108">
        <v>2968.0</v>
      </c>
      <c r="I166" s="108">
        <v>1184.0</v>
      </c>
      <c r="J166" s="108" t="s">
        <v>65</v>
      </c>
      <c r="K166" s="110" t="s">
        <v>1167</v>
      </c>
      <c r="L166" s="109" t="s">
        <v>67</v>
      </c>
      <c r="M166" s="110" t="s">
        <v>1147</v>
      </c>
      <c r="N166" s="111" t="s">
        <v>1148</v>
      </c>
      <c r="O166" s="110" t="s">
        <v>1149</v>
      </c>
      <c r="P166" s="112"/>
      <c r="Q166" s="112" t="s">
        <v>67</v>
      </c>
      <c r="R166" s="113">
        <v>1.0</v>
      </c>
      <c r="S166" s="112" t="s">
        <v>67</v>
      </c>
      <c r="T166" s="104"/>
      <c r="U166" s="112"/>
      <c r="V166" s="112" t="s">
        <v>970</v>
      </c>
      <c r="W166" s="120" t="s">
        <v>1168</v>
      </c>
      <c r="X166" s="116" t="s">
        <v>205</v>
      </c>
      <c r="Y166" s="116" t="s">
        <v>378</v>
      </c>
      <c r="Z166" s="108" t="s">
        <v>966</v>
      </c>
      <c r="AA166" s="112" t="s">
        <v>74</v>
      </c>
      <c r="AB166" s="112" t="s">
        <v>67</v>
      </c>
      <c r="AC166" s="112"/>
      <c r="AD166" s="117" t="s">
        <v>76</v>
      </c>
      <c r="AE166" s="118"/>
      <c r="AF166" s="112" t="s">
        <v>67</v>
      </c>
      <c r="AG166" s="112"/>
      <c r="AH166" s="112">
        <v>28.0</v>
      </c>
      <c r="AI166" s="112">
        <v>17.0</v>
      </c>
      <c r="AJ166" s="112"/>
      <c r="AK166" s="112"/>
      <c r="AL166" s="112"/>
      <c r="AM166" s="112"/>
      <c r="AN166" s="112">
        <v>0.0</v>
      </c>
      <c r="AO166" s="121"/>
      <c r="AP166" s="118"/>
      <c r="AQ166" s="118"/>
      <c r="AR166" s="118"/>
      <c r="AS166" s="118"/>
      <c r="AT166" s="118"/>
    </row>
    <row r="167" ht="27.75" customHeight="1">
      <c r="A167" s="104" t="s">
        <v>1169</v>
      </c>
      <c r="B167" s="105" t="s">
        <v>1141</v>
      </c>
      <c r="C167" s="105" t="s">
        <v>1163</v>
      </c>
      <c r="D167" s="105" t="s">
        <v>1170</v>
      </c>
      <c r="E167" s="106" t="s">
        <v>1171</v>
      </c>
      <c r="F167" s="107" t="s">
        <v>1172</v>
      </c>
      <c r="G167" s="105">
        <v>9.82417387E8</v>
      </c>
      <c r="H167" s="108">
        <v>2860.0</v>
      </c>
      <c r="I167" s="108">
        <v>872.0</v>
      </c>
      <c r="J167" s="108" t="s">
        <v>65</v>
      </c>
      <c r="K167" s="109" t="s">
        <v>1173</v>
      </c>
      <c r="L167" s="109" t="s">
        <v>67</v>
      </c>
      <c r="M167" s="109" t="s">
        <v>1174</v>
      </c>
      <c r="N167" s="111" t="s">
        <v>1148</v>
      </c>
      <c r="O167" s="110" t="s">
        <v>1149</v>
      </c>
      <c r="P167" s="112"/>
      <c r="Q167" s="112" t="s">
        <v>67</v>
      </c>
      <c r="R167" s="113">
        <v>1.0</v>
      </c>
      <c r="S167" s="112" t="s">
        <v>67</v>
      </c>
      <c r="T167" s="104" t="s">
        <v>1163</v>
      </c>
      <c r="U167" s="112"/>
      <c r="V167" s="112" t="s">
        <v>970</v>
      </c>
      <c r="W167" s="120" t="s">
        <v>1175</v>
      </c>
      <c r="X167" s="116" t="s">
        <v>205</v>
      </c>
      <c r="Y167" s="116" t="s">
        <v>992</v>
      </c>
      <c r="Z167" s="108" t="s">
        <v>966</v>
      </c>
      <c r="AA167" s="112" t="s">
        <v>74</v>
      </c>
      <c r="AB167" s="112" t="s">
        <v>67</v>
      </c>
      <c r="AC167" s="112"/>
      <c r="AD167" s="117" t="s">
        <v>76</v>
      </c>
      <c r="AE167" s="118"/>
      <c r="AF167" s="112" t="s">
        <v>67</v>
      </c>
      <c r="AG167" s="112"/>
      <c r="AH167" s="112">
        <v>26.0</v>
      </c>
      <c r="AI167" s="112">
        <v>35.0</v>
      </c>
      <c r="AJ167" s="112"/>
      <c r="AK167" s="112"/>
      <c r="AL167" s="112"/>
      <c r="AM167" s="112"/>
      <c r="AN167" s="112">
        <v>0.0</v>
      </c>
      <c r="AO167" s="121"/>
      <c r="AP167" s="118"/>
      <c r="AQ167" s="118"/>
      <c r="AR167" s="118"/>
      <c r="AS167" s="118"/>
      <c r="AT167" s="118"/>
    </row>
    <row r="168">
      <c r="A168" s="35" t="s">
        <v>1176</v>
      </c>
      <c r="B168" s="36" t="s">
        <v>1141</v>
      </c>
      <c r="C168" s="36" t="s">
        <v>1177</v>
      </c>
      <c r="D168" s="36" t="s">
        <v>1178</v>
      </c>
      <c r="E168" s="37" t="s">
        <v>1179</v>
      </c>
      <c r="F168" s="38" t="s">
        <v>1180</v>
      </c>
      <c r="G168" s="61">
        <v>9.35829239E8</v>
      </c>
      <c r="H168" s="40">
        <v>2864.0</v>
      </c>
      <c r="I168" s="40">
        <v>868.0</v>
      </c>
      <c r="J168" s="40" t="s">
        <v>65</v>
      </c>
      <c r="K168" s="41" t="s">
        <v>1181</v>
      </c>
      <c r="L168" s="42" t="s">
        <v>67</v>
      </c>
      <c r="M168" s="42" t="s">
        <v>1182</v>
      </c>
      <c r="N168" s="43" t="s">
        <v>1148</v>
      </c>
      <c r="O168" s="44" t="s">
        <v>1149</v>
      </c>
      <c r="P168" s="45" t="s">
        <v>67</v>
      </c>
      <c r="Q168" s="45" t="s">
        <v>67</v>
      </c>
      <c r="R168" s="46">
        <v>2.0</v>
      </c>
      <c r="S168" s="45" t="s">
        <v>67</v>
      </c>
      <c r="T168" s="58"/>
      <c r="U168" s="45"/>
      <c r="V168" s="45"/>
      <c r="W168" s="156">
        <v>46133.0</v>
      </c>
      <c r="X168" s="49" t="s">
        <v>488</v>
      </c>
      <c r="Y168" s="49" t="s">
        <v>1183</v>
      </c>
      <c r="Z168" s="40" t="s">
        <v>1184</v>
      </c>
      <c r="AA168" s="45" t="s">
        <v>74</v>
      </c>
      <c r="AB168" s="45" t="s">
        <v>67</v>
      </c>
      <c r="AC168" s="45" t="s">
        <v>135</v>
      </c>
      <c r="AD168" s="51" t="s">
        <v>76</v>
      </c>
      <c r="AE168" s="54"/>
      <c r="AF168" s="45" t="s">
        <v>67</v>
      </c>
      <c r="AG168" s="45"/>
      <c r="AH168" s="45">
        <v>0.0</v>
      </c>
      <c r="AI168" s="45"/>
      <c r="AJ168" s="45"/>
      <c r="AK168" s="45"/>
      <c r="AL168" s="45"/>
      <c r="AM168" s="45"/>
      <c r="AN168" s="45">
        <v>0.0</v>
      </c>
      <c r="AO168" s="55"/>
      <c r="AP168" s="54"/>
      <c r="AQ168" s="54"/>
      <c r="AR168" s="54"/>
      <c r="AS168" s="54"/>
      <c r="AT168" s="54"/>
    </row>
    <row r="169">
      <c r="A169" s="35" t="s">
        <v>1185</v>
      </c>
      <c r="B169" s="36" t="s">
        <v>1141</v>
      </c>
      <c r="C169" s="36" t="s">
        <v>1177</v>
      </c>
      <c r="D169" s="36" t="s">
        <v>1186</v>
      </c>
      <c r="E169" s="37" t="s">
        <v>1187</v>
      </c>
      <c r="F169" s="38" t="s">
        <v>1188</v>
      </c>
      <c r="G169" s="61">
        <v>9.58257836E8</v>
      </c>
      <c r="H169" s="40">
        <v>2868.0</v>
      </c>
      <c r="I169" s="40">
        <v>876.0</v>
      </c>
      <c r="J169" s="40" t="s">
        <v>65</v>
      </c>
      <c r="K169" s="41" t="s">
        <v>1189</v>
      </c>
      <c r="L169" s="42" t="s">
        <v>67</v>
      </c>
      <c r="M169" s="42" t="s">
        <v>1182</v>
      </c>
      <c r="N169" s="43" t="s">
        <v>1148</v>
      </c>
      <c r="O169" s="44" t="s">
        <v>1149</v>
      </c>
      <c r="P169" s="45"/>
      <c r="Q169" s="45" t="s">
        <v>67</v>
      </c>
      <c r="R169" s="46">
        <v>1.0</v>
      </c>
      <c r="S169" s="45" t="s">
        <v>67</v>
      </c>
      <c r="T169" s="58"/>
      <c r="U169" s="45"/>
      <c r="V169" s="45"/>
      <c r="W169" s="63" t="s">
        <v>1190</v>
      </c>
      <c r="X169" s="49" t="s">
        <v>1191</v>
      </c>
      <c r="Y169" s="49" t="s">
        <v>1192</v>
      </c>
      <c r="Z169" s="40" t="s">
        <v>1184</v>
      </c>
      <c r="AA169" s="45" t="s">
        <v>67</v>
      </c>
      <c r="AB169" s="45" t="s">
        <v>67</v>
      </c>
      <c r="AC169" s="45" t="s">
        <v>1193</v>
      </c>
      <c r="AD169" s="51" t="s">
        <v>76</v>
      </c>
      <c r="AE169" s="54"/>
      <c r="AF169" s="45" t="s">
        <v>67</v>
      </c>
      <c r="AG169" s="45"/>
      <c r="AH169" s="45">
        <v>0.0</v>
      </c>
      <c r="AI169" s="45"/>
      <c r="AJ169" s="45"/>
      <c r="AK169" s="45"/>
      <c r="AL169" s="45"/>
      <c r="AM169" s="45"/>
      <c r="AN169" s="45">
        <v>0.0</v>
      </c>
      <c r="AO169" s="55"/>
      <c r="AP169" s="54"/>
      <c r="AQ169" s="54"/>
      <c r="AR169" s="54"/>
      <c r="AS169" s="54"/>
      <c r="AT169" s="54"/>
    </row>
    <row r="170">
      <c r="A170" s="35" t="s">
        <v>1194</v>
      </c>
      <c r="B170" s="36" t="s">
        <v>1141</v>
      </c>
      <c r="C170" s="36" t="s">
        <v>1195</v>
      </c>
      <c r="D170" s="36" t="s">
        <v>1196</v>
      </c>
      <c r="E170" s="37" t="s">
        <v>1197</v>
      </c>
      <c r="F170" s="38" t="s">
        <v>1198</v>
      </c>
      <c r="G170" s="61">
        <v>9.29666944E8</v>
      </c>
      <c r="H170" s="40">
        <v>2857.0</v>
      </c>
      <c r="I170" s="40">
        <v>875.0</v>
      </c>
      <c r="J170" s="40" t="s">
        <v>65</v>
      </c>
      <c r="K170" s="42" t="s">
        <v>1199</v>
      </c>
      <c r="L170" s="42" t="s">
        <v>67</v>
      </c>
      <c r="M170" s="41" t="s">
        <v>1200</v>
      </c>
      <c r="N170" s="43" t="s">
        <v>1201</v>
      </c>
      <c r="O170" s="42" t="s">
        <v>1202</v>
      </c>
      <c r="P170" s="45"/>
      <c r="Q170" s="45" t="s">
        <v>67</v>
      </c>
      <c r="R170" s="46">
        <v>1.0</v>
      </c>
      <c r="S170" s="45" t="s">
        <v>67</v>
      </c>
      <c r="T170" s="58"/>
      <c r="U170" s="45"/>
      <c r="V170" s="45"/>
      <c r="W170" s="63" t="s">
        <v>1203</v>
      </c>
      <c r="X170" s="49" t="s">
        <v>1204</v>
      </c>
      <c r="Y170" s="49" t="s">
        <v>1205</v>
      </c>
      <c r="Z170" s="40" t="s">
        <v>1184</v>
      </c>
      <c r="AA170" s="45" t="s">
        <v>67</v>
      </c>
      <c r="AB170" s="45" t="s">
        <v>67</v>
      </c>
      <c r="AC170" s="45" t="s">
        <v>1193</v>
      </c>
      <c r="AD170" s="51" t="s">
        <v>76</v>
      </c>
      <c r="AE170" s="54"/>
      <c r="AF170" s="45" t="s">
        <v>67</v>
      </c>
      <c r="AG170" s="45"/>
      <c r="AH170" s="45">
        <v>0.0</v>
      </c>
      <c r="AI170" s="45"/>
      <c r="AJ170" s="45"/>
      <c r="AK170" s="45"/>
      <c r="AL170" s="45"/>
      <c r="AM170" s="45"/>
      <c r="AN170" s="45">
        <v>0.0</v>
      </c>
      <c r="AO170" s="55"/>
      <c r="AP170" s="54"/>
      <c r="AQ170" s="54"/>
      <c r="AR170" s="54"/>
      <c r="AS170" s="54"/>
      <c r="AT170" s="54"/>
    </row>
    <row r="171">
      <c r="A171" s="35" t="s">
        <v>1194</v>
      </c>
      <c r="B171" s="36" t="s">
        <v>1141</v>
      </c>
      <c r="C171" s="36" t="s">
        <v>1195</v>
      </c>
      <c r="D171" s="36" t="s">
        <v>1196</v>
      </c>
      <c r="E171" s="37" t="s">
        <v>1206</v>
      </c>
      <c r="F171" s="38" t="s">
        <v>1207</v>
      </c>
      <c r="G171" s="61">
        <v>9.15169554E8</v>
      </c>
      <c r="H171" s="40">
        <v>2858.0</v>
      </c>
      <c r="I171" s="40">
        <v>874.0</v>
      </c>
      <c r="J171" s="40" t="s">
        <v>65</v>
      </c>
      <c r="K171" s="41" t="s">
        <v>1208</v>
      </c>
      <c r="L171" s="42" t="s">
        <v>67</v>
      </c>
      <c r="M171" s="41" t="s">
        <v>1200</v>
      </c>
      <c r="N171" s="43" t="s">
        <v>1201</v>
      </c>
      <c r="O171" s="42" t="s">
        <v>1202</v>
      </c>
      <c r="P171" s="45"/>
      <c r="Q171" s="45" t="s">
        <v>67</v>
      </c>
      <c r="R171" s="46">
        <v>1.0</v>
      </c>
      <c r="S171" s="45" t="s">
        <v>67</v>
      </c>
      <c r="T171" s="58"/>
      <c r="U171" s="45"/>
      <c r="V171" s="45"/>
      <c r="W171" s="63" t="s">
        <v>1203</v>
      </c>
      <c r="X171" s="49" t="s">
        <v>1209</v>
      </c>
      <c r="Y171" s="49" t="s">
        <v>1205</v>
      </c>
      <c r="Z171" s="40" t="s">
        <v>1184</v>
      </c>
      <c r="AA171" s="45" t="s">
        <v>67</v>
      </c>
      <c r="AB171" s="45" t="s">
        <v>67</v>
      </c>
      <c r="AC171" s="45" t="s">
        <v>1193</v>
      </c>
      <c r="AD171" s="51" t="s">
        <v>76</v>
      </c>
      <c r="AE171" s="54"/>
      <c r="AF171" s="45" t="s">
        <v>67</v>
      </c>
      <c r="AG171" s="45"/>
      <c r="AH171" s="45">
        <v>0.0</v>
      </c>
      <c r="AI171" s="45"/>
      <c r="AJ171" s="45"/>
      <c r="AK171" s="45"/>
      <c r="AL171" s="45"/>
      <c r="AM171" s="45"/>
      <c r="AN171" s="45">
        <v>0.0</v>
      </c>
      <c r="AO171" s="55"/>
      <c r="AP171" s="54"/>
      <c r="AQ171" s="54"/>
      <c r="AR171" s="54"/>
      <c r="AS171" s="54"/>
      <c r="AT171" s="54"/>
    </row>
    <row r="172">
      <c r="A172" s="35" t="s">
        <v>1210</v>
      </c>
      <c r="B172" s="36" t="s">
        <v>1141</v>
      </c>
      <c r="C172" s="36" t="s">
        <v>1195</v>
      </c>
      <c r="D172" s="36" t="s">
        <v>1211</v>
      </c>
      <c r="E172" s="37" t="s">
        <v>1212</v>
      </c>
      <c r="F172" s="38" t="s">
        <v>1213</v>
      </c>
      <c r="G172" s="61">
        <v>9.31153221E8</v>
      </c>
      <c r="H172" s="40"/>
      <c r="I172" s="40">
        <v>1129.0</v>
      </c>
      <c r="J172" s="40" t="s">
        <v>65</v>
      </c>
      <c r="K172" s="42" t="s">
        <v>1214</v>
      </c>
      <c r="L172" s="42" t="s">
        <v>67</v>
      </c>
      <c r="M172" s="41" t="s">
        <v>1200</v>
      </c>
      <c r="N172" s="43" t="s">
        <v>1201</v>
      </c>
      <c r="O172" s="44">
        <v>0.0</v>
      </c>
      <c r="P172" s="45" t="s">
        <v>67</v>
      </c>
      <c r="Q172" s="45" t="s">
        <v>67</v>
      </c>
      <c r="R172" s="46">
        <v>1.0</v>
      </c>
      <c r="S172" s="45" t="s">
        <v>67</v>
      </c>
      <c r="T172" s="58"/>
      <c r="U172" s="45"/>
      <c r="V172" s="45"/>
      <c r="W172" s="63" t="s">
        <v>1215</v>
      </c>
      <c r="X172" s="49" t="s">
        <v>1216</v>
      </c>
      <c r="Y172" s="49" t="s">
        <v>1217</v>
      </c>
      <c r="Z172" s="40" t="s">
        <v>1184</v>
      </c>
      <c r="AA172" s="45" t="s">
        <v>67</v>
      </c>
      <c r="AB172" s="45" t="s">
        <v>67</v>
      </c>
      <c r="AC172" s="45" t="s">
        <v>1218</v>
      </c>
      <c r="AD172" s="51" t="s">
        <v>76</v>
      </c>
      <c r="AE172" s="54"/>
      <c r="AF172" s="45" t="s">
        <v>67</v>
      </c>
      <c r="AG172" s="45"/>
      <c r="AH172" s="45">
        <v>0.0</v>
      </c>
      <c r="AI172" s="45"/>
      <c r="AJ172" s="45"/>
      <c r="AK172" s="45"/>
      <c r="AL172" s="45"/>
      <c r="AM172" s="45"/>
      <c r="AN172" s="45">
        <v>0.0</v>
      </c>
      <c r="AO172" s="55"/>
      <c r="AP172" s="54"/>
      <c r="AQ172" s="54"/>
      <c r="AR172" s="54"/>
      <c r="AS172" s="54"/>
      <c r="AT172" s="54"/>
    </row>
    <row r="173">
      <c r="A173" s="35" t="s">
        <v>1210</v>
      </c>
      <c r="B173" s="36" t="s">
        <v>1141</v>
      </c>
      <c r="C173" s="36" t="s">
        <v>1195</v>
      </c>
      <c r="D173" s="36" t="s">
        <v>1211</v>
      </c>
      <c r="E173" s="37" t="s">
        <v>1219</v>
      </c>
      <c r="F173" s="38" t="s">
        <v>1220</v>
      </c>
      <c r="G173" s="61">
        <v>9.10782973E8</v>
      </c>
      <c r="H173" s="40">
        <v>2609.0</v>
      </c>
      <c r="I173" s="40">
        <v>1130.0</v>
      </c>
      <c r="J173" s="40" t="s">
        <v>65</v>
      </c>
      <c r="K173" s="41" t="s">
        <v>1221</v>
      </c>
      <c r="L173" s="42" t="s">
        <v>67</v>
      </c>
      <c r="M173" s="41" t="s">
        <v>1200</v>
      </c>
      <c r="N173" s="43" t="s">
        <v>1201</v>
      </c>
      <c r="O173" s="44">
        <v>0.0</v>
      </c>
      <c r="P173" s="45" t="s">
        <v>67</v>
      </c>
      <c r="Q173" s="45" t="s">
        <v>67</v>
      </c>
      <c r="R173" s="46">
        <v>1.0</v>
      </c>
      <c r="S173" s="45" t="s">
        <v>67</v>
      </c>
      <c r="T173" s="58"/>
      <c r="U173" s="45"/>
      <c r="V173" s="45"/>
      <c r="W173" s="63" t="s">
        <v>1215</v>
      </c>
      <c r="X173" s="49" t="s">
        <v>1216</v>
      </c>
      <c r="Y173" s="49" t="s">
        <v>1217</v>
      </c>
      <c r="Z173" s="40" t="s">
        <v>1184</v>
      </c>
      <c r="AA173" s="45" t="s">
        <v>67</v>
      </c>
      <c r="AB173" s="45" t="s">
        <v>67</v>
      </c>
      <c r="AC173" s="45" t="s">
        <v>1218</v>
      </c>
      <c r="AD173" s="51" t="s">
        <v>76</v>
      </c>
      <c r="AE173" s="54"/>
      <c r="AF173" s="45" t="s">
        <v>67</v>
      </c>
      <c r="AG173" s="45"/>
      <c r="AH173" s="45">
        <v>0.0</v>
      </c>
      <c r="AI173" s="45"/>
      <c r="AJ173" s="45"/>
      <c r="AK173" s="45"/>
      <c r="AL173" s="45"/>
      <c r="AM173" s="45"/>
      <c r="AN173" s="45">
        <v>0.0</v>
      </c>
      <c r="AO173" s="55"/>
      <c r="AP173" s="54"/>
      <c r="AQ173" s="54"/>
      <c r="AR173" s="54"/>
      <c r="AS173" s="54"/>
      <c r="AT173" s="54"/>
    </row>
    <row r="174">
      <c r="A174" s="35" t="s">
        <v>1222</v>
      </c>
      <c r="B174" s="36" t="s">
        <v>1141</v>
      </c>
      <c r="C174" s="36" t="s">
        <v>1223</v>
      </c>
      <c r="D174" s="61" t="s">
        <v>1224</v>
      </c>
      <c r="E174" s="37" t="s">
        <v>1225</v>
      </c>
      <c r="F174" s="38"/>
      <c r="G174" s="61"/>
      <c r="H174" s="40"/>
      <c r="I174" s="40"/>
      <c r="J174" s="40" t="s">
        <v>1226</v>
      </c>
      <c r="K174" s="41" t="s">
        <v>1227</v>
      </c>
      <c r="L174" s="42" t="s">
        <v>74</v>
      </c>
      <c r="M174" s="41" t="s">
        <v>1147</v>
      </c>
      <c r="N174" s="43" t="s">
        <v>1148</v>
      </c>
      <c r="O174" s="44" t="s">
        <v>1149</v>
      </c>
      <c r="P174" s="45"/>
      <c r="Q174" s="45" t="s">
        <v>67</v>
      </c>
      <c r="R174" s="46">
        <v>1.0</v>
      </c>
      <c r="S174" s="45"/>
      <c r="T174" s="64"/>
      <c r="U174" s="45"/>
      <c r="V174" s="45"/>
      <c r="W174" s="103"/>
      <c r="X174" s="49" t="s">
        <v>205</v>
      </c>
      <c r="Y174" s="49"/>
      <c r="Z174" s="40" t="s">
        <v>1184</v>
      </c>
      <c r="AA174" s="45" t="s">
        <v>74</v>
      </c>
      <c r="AB174" s="45" t="s">
        <v>67</v>
      </c>
      <c r="AC174" s="45"/>
      <c r="AD174" s="51" t="s">
        <v>76</v>
      </c>
      <c r="AE174" s="54"/>
      <c r="AF174" s="45" t="s">
        <v>67</v>
      </c>
      <c r="AG174" s="45"/>
      <c r="AH174" s="45">
        <v>0.0</v>
      </c>
      <c r="AI174" s="45"/>
      <c r="AJ174" s="45"/>
      <c r="AK174" s="45"/>
      <c r="AL174" s="45"/>
      <c r="AM174" s="45"/>
      <c r="AN174" s="45">
        <v>0.0</v>
      </c>
      <c r="AO174" s="55"/>
      <c r="AP174" s="54"/>
      <c r="AQ174" s="54"/>
      <c r="AR174" s="54"/>
      <c r="AS174" s="54"/>
      <c r="AT174" s="54"/>
    </row>
    <row r="175">
      <c r="A175" s="35" t="s">
        <v>1222</v>
      </c>
      <c r="B175" s="36" t="s">
        <v>1141</v>
      </c>
      <c r="C175" s="36" t="s">
        <v>1223</v>
      </c>
      <c r="D175" s="36" t="s">
        <v>1224</v>
      </c>
      <c r="E175" s="37" t="s">
        <v>1228</v>
      </c>
      <c r="F175" s="38" t="s">
        <v>1229</v>
      </c>
      <c r="G175" s="61">
        <v>9.50283068E8</v>
      </c>
      <c r="H175" s="40">
        <v>2604.0</v>
      </c>
      <c r="I175" s="40">
        <v>864.0</v>
      </c>
      <c r="J175" s="40" t="s">
        <v>65</v>
      </c>
      <c r="K175" s="42" t="s">
        <v>1230</v>
      </c>
      <c r="L175" s="42" t="s">
        <v>67</v>
      </c>
      <c r="M175" s="41" t="s">
        <v>1147</v>
      </c>
      <c r="N175" s="43" t="s">
        <v>1148</v>
      </c>
      <c r="O175" s="44" t="s">
        <v>1149</v>
      </c>
      <c r="P175" s="45"/>
      <c r="Q175" s="45" t="s">
        <v>67</v>
      </c>
      <c r="R175" s="46">
        <v>1.0</v>
      </c>
      <c r="S175" s="45" t="s">
        <v>67</v>
      </c>
      <c r="T175" s="58"/>
      <c r="U175" s="45"/>
      <c r="V175" s="45"/>
      <c r="W175" s="63" t="s">
        <v>1231</v>
      </c>
      <c r="X175" s="49" t="s">
        <v>1232</v>
      </c>
      <c r="Y175" s="49" t="s">
        <v>393</v>
      </c>
      <c r="Z175" s="40" t="s">
        <v>1184</v>
      </c>
      <c r="AA175" s="45" t="s">
        <v>74</v>
      </c>
      <c r="AB175" s="45" t="s">
        <v>67</v>
      </c>
      <c r="AC175" s="45" t="s">
        <v>306</v>
      </c>
      <c r="AD175" s="51" t="s">
        <v>76</v>
      </c>
      <c r="AE175" s="54"/>
      <c r="AF175" s="45" t="s">
        <v>67</v>
      </c>
      <c r="AG175" s="45"/>
      <c r="AH175" s="45">
        <v>0.0</v>
      </c>
      <c r="AI175" s="45"/>
      <c r="AJ175" s="45"/>
      <c r="AK175" s="45"/>
      <c r="AL175" s="45"/>
      <c r="AM175" s="45"/>
      <c r="AN175" s="45">
        <v>0.0</v>
      </c>
      <c r="AO175" s="55"/>
      <c r="AP175" s="54"/>
      <c r="AQ175" s="54"/>
      <c r="AR175" s="54"/>
      <c r="AS175" s="54"/>
      <c r="AT175" s="54"/>
    </row>
    <row r="176">
      <c r="A176" s="35" t="s">
        <v>1233</v>
      </c>
      <c r="B176" s="36" t="s">
        <v>1141</v>
      </c>
      <c r="C176" s="36" t="s">
        <v>1142</v>
      </c>
      <c r="D176" s="36" t="s">
        <v>1234</v>
      </c>
      <c r="E176" s="37" t="s">
        <v>1235</v>
      </c>
      <c r="F176" s="38" t="s">
        <v>1236</v>
      </c>
      <c r="G176" s="61">
        <v>9.00185785E8</v>
      </c>
      <c r="H176" s="40">
        <v>2861.0</v>
      </c>
      <c r="I176" s="40">
        <v>871.0</v>
      </c>
      <c r="J176" s="40" t="s">
        <v>65</v>
      </c>
      <c r="K176" s="41" t="s">
        <v>1237</v>
      </c>
      <c r="L176" s="42" t="s">
        <v>67</v>
      </c>
      <c r="M176" s="41" t="s">
        <v>1147</v>
      </c>
      <c r="N176" s="43" t="s">
        <v>1148</v>
      </c>
      <c r="O176" s="44" t="s">
        <v>1149</v>
      </c>
      <c r="P176" s="45"/>
      <c r="Q176" s="45" t="s">
        <v>67</v>
      </c>
      <c r="R176" s="46">
        <v>1.0</v>
      </c>
      <c r="S176" s="45" t="s">
        <v>67</v>
      </c>
      <c r="T176" s="58"/>
      <c r="U176" s="45"/>
      <c r="V176" s="45"/>
      <c r="W176" s="63" t="s">
        <v>1238</v>
      </c>
      <c r="X176" s="49" t="s">
        <v>1239</v>
      </c>
      <c r="Y176" s="49" t="s">
        <v>1240</v>
      </c>
      <c r="Z176" s="40" t="s">
        <v>1184</v>
      </c>
      <c r="AA176" s="45" t="s">
        <v>74</v>
      </c>
      <c r="AB176" s="45" t="s">
        <v>67</v>
      </c>
      <c r="AC176" s="45" t="s">
        <v>306</v>
      </c>
      <c r="AD176" s="51" t="s">
        <v>76</v>
      </c>
      <c r="AE176" s="54"/>
      <c r="AF176" s="45" t="s">
        <v>67</v>
      </c>
      <c r="AG176" s="45"/>
      <c r="AH176" s="45">
        <v>0.0</v>
      </c>
      <c r="AI176" s="45"/>
      <c r="AJ176" s="45"/>
      <c r="AK176" s="45"/>
      <c r="AL176" s="45"/>
      <c r="AM176" s="45"/>
      <c r="AN176" s="45">
        <v>0.0</v>
      </c>
      <c r="AO176" s="55"/>
      <c r="AP176" s="54"/>
      <c r="AQ176" s="54"/>
      <c r="AR176" s="54"/>
      <c r="AS176" s="54"/>
      <c r="AT176" s="54"/>
    </row>
    <row r="177">
      <c r="A177" s="35" t="s">
        <v>1233</v>
      </c>
      <c r="B177" s="36" t="s">
        <v>1141</v>
      </c>
      <c r="C177" s="36" t="s">
        <v>1142</v>
      </c>
      <c r="D177" s="36" t="s">
        <v>1234</v>
      </c>
      <c r="E177" s="37" t="s">
        <v>1241</v>
      </c>
      <c r="F177" s="38" t="s">
        <v>1242</v>
      </c>
      <c r="G177" s="61">
        <v>9.33930937E8</v>
      </c>
      <c r="H177" s="40">
        <v>2611.0</v>
      </c>
      <c r="I177" s="40">
        <v>1132.0</v>
      </c>
      <c r="J177" s="40" t="s">
        <v>65</v>
      </c>
      <c r="K177" s="41" t="s">
        <v>1243</v>
      </c>
      <c r="L177" s="42" t="s">
        <v>67</v>
      </c>
      <c r="M177" s="41" t="s">
        <v>1147</v>
      </c>
      <c r="N177" s="43" t="s">
        <v>1148</v>
      </c>
      <c r="O177" s="44" t="s">
        <v>1149</v>
      </c>
      <c r="P177" s="45"/>
      <c r="Q177" s="45" t="s">
        <v>67</v>
      </c>
      <c r="R177" s="46">
        <v>1.0</v>
      </c>
      <c r="S177" s="45" t="s">
        <v>67</v>
      </c>
      <c r="T177" s="58"/>
      <c r="U177" s="45"/>
      <c r="V177" s="45"/>
      <c r="W177" s="63" t="s">
        <v>1238</v>
      </c>
      <c r="X177" s="49" t="s">
        <v>1239</v>
      </c>
      <c r="Y177" s="49" t="s">
        <v>1240</v>
      </c>
      <c r="Z177" s="40" t="s">
        <v>1184</v>
      </c>
      <c r="AA177" s="45" t="s">
        <v>74</v>
      </c>
      <c r="AB177" s="45" t="s">
        <v>67</v>
      </c>
      <c r="AC177" s="45" t="s">
        <v>306</v>
      </c>
      <c r="AD177" s="51" t="s">
        <v>76</v>
      </c>
      <c r="AE177" s="54"/>
      <c r="AF177" s="45" t="s">
        <v>67</v>
      </c>
      <c r="AG177" s="45"/>
      <c r="AH177" s="45">
        <v>0.0</v>
      </c>
      <c r="AI177" s="45"/>
      <c r="AJ177" s="45"/>
      <c r="AK177" s="45"/>
      <c r="AL177" s="45"/>
      <c r="AM177" s="45"/>
      <c r="AN177" s="45">
        <v>0.0</v>
      </c>
      <c r="AO177" s="55"/>
      <c r="AP177" s="54"/>
      <c r="AQ177" s="54"/>
      <c r="AR177" s="54"/>
      <c r="AS177" s="54"/>
      <c r="AT177" s="54"/>
    </row>
    <row r="178">
      <c r="A178" s="35" t="s">
        <v>1244</v>
      </c>
      <c r="B178" s="36" t="s">
        <v>1141</v>
      </c>
      <c r="C178" s="36" t="s">
        <v>1195</v>
      </c>
      <c r="D178" s="36" t="s">
        <v>1245</v>
      </c>
      <c r="E178" s="37" t="s">
        <v>1246</v>
      </c>
      <c r="F178" s="38" t="s">
        <v>1247</v>
      </c>
      <c r="G178" s="61">
        <v>9.16334426E8</v>
      </c>
      <c r="H178" s="40">
        <v>2971.0</v>
      </c>
      <c r="I178" s="40">
        <v>1127.0</v>
      </c>
      <c r="J178" s="40" t="s">
        <v>65</v>
      </c>
      <c r="K178" s="42" t="s">
        <v>1248</v>
      </c>
      <c r="L178" s="42" t="s">
        <v>67</v>
      </c>
      <c r="M178" s="53" t="s">
        <v>1200</v>
      </c>
      <c r="N178" s="43" t="s">
        <v>1201</v>
      </c>
      <c r="O178" s="44">
        <v>0.0</v>
      </c>
      <c r="P178" s="45" t="s">
        <v>67</v>
      </c>
      <c r="Q178" s="45" t="s">
        <v>67</v>
      </c>
      <c r="R178" s="46">
        <v>1.0</v>
      </c>
      <c r="S178" s="45" t="s">
        <v>67</v>
      </c>
      <c r="T178" s="58"/>
      <c r="U178" s="45"/>
      <c r="V178" s="45"/>
      <c r="W178" s="63" t="s">
        <v>1249</v>
      </c>
      <c r="X178" s="49" t="s">
        <v>1250</v>
      </c>
      <c r="Y178" s="49" t="s">
        <v>378</v>
      </c>
      <c r="Z178" s="40" t="s">
        <v>1184</v>
      </c>
      <c r="AA178" s="45" t="s">
        <v>74</v>
      </c>
      <c r="AB178" s="45" t="s">
        <v>67</v>
      </c>
      <c r="AC178" s="45" t="s">
        <v>620</v>
      </c>
      <c r="AD178" s="51" t="s">
        <v>76</v>
      </c>
      <c r="AE178" s="54"/>
      <c r="AF178" s="45" t="s">
        <v>67</v>
      </c>
      <c r="AG178" s="45"/>
      <c r="AH178" s="45">
        <v>0.0</v>
      </c>
      <c r="AI178" s="45"/>
      <c r="AJ178" s="45"/>
      <c r="AK178" s="45"/>
      <c r="AL178" s="45"/>
      <c r="AM178" s="45"/>
      <c r="AN178" s="45">
        <v>0.0</v>
      </c>
      <c r="AO178" s="55"/>
      <c r="AP178" s="54"/>
      <c r="AQ178" s="54"/>
      <c r="AR178" s="54"/>
      <c r="AS178" s="54"/>
      <c r="AT178" s="54"/>
    </row>
    <row r="179">
      <c r="A179" s="35" t="s">
        <v>1244</v>
      </c>
      <c r="B179" s="36" t="s">
        <v>1141</v>
      </c>
      <c r="C179" s="36" t="s">
        <v>1195</v>
      </c>
      <c r="D179" s="36" t="s">
        <v>1245</v>
      </c>
      <c r="E179" s="37" t="s">
        <v>1251</v>
      </c>
      <c r="F179" s="38" t="s">
        <v>1252</v>
      </c>
      <c r="G179" s="61">
        <v>9.06671771E8</v>
      </c>
      <c r="H179" s="40">
        <v>2972.0</v>
      </c>
      <c r="I179" s="40">
        <v>1128.0</v>
      </c>
      <c r="J179" s="40" t="s">
        <v>65</v>
      </c>
      <c r="K179" s="41" t="s">
        <v>1253</v>
      </c>
      <c r="L179" s="42" t="s">
        <v>67</v>
      </c>
      <c r="M179" s="53" t="s">
        <v>1200</v>
      </c>
      <c r="N179" s="43" t="s">
        <v>1201</v>
      </c>
      <c r="O179" s="44">
        <v>0.0</v>
      </c>
      <c r="P179" s="45" t="s">
        <v>67</v>
      </c>
      <c r="Q179" s="45" t="s">
        <v>67</v>
      </c>
      <c r="R179" s="46">
        <v>1.0</v>
      </c>
      <c r="S179" s="45" t="s">
        <v>67</v>
      </c>
      <c r="T179" s="58"/>
      <c r="U179" s="45"/>
      <c r="V179" s="45"/>
      <c r="W179" s="63" t="s">
        <v>1249</v>
      </c>
      <c r="X179" s="49" t="s">
        <v>1250</v>
      </c>
      <c r="Y179" s="49" t="s">
        <v>378</v>
      </c>
      <c r="Z179" s="40" t="s">
        <v>1184</v>
      </c>
      <c r="AA179" s="45" t="s">
        <v>74</v>
      </c>
      <c r="AB179" s="45" t="s">
        <v>67</v>
      </c>
      <c r="AC179" s="45" t="s">
        <v>620</v>
      </c>
      <c r="AD179" s="51" t="s">
        <v>76</v>
      </c>
      <c r="AE179" s="54"/>
      <c r="AF179" s="45" t="s">
        <v>67</v>
      </c>
      <c r="AG179" s="45"/>
      <c r="AH179" s="45">
        <v>0.0</v>
      </c>
      <c r="AI179" s="45"/>
      <c r="AJ179" s="45"/>
      <c r="AK179" s="45"/>
      <c r="AL179" s="45"/>
      <c r="AM179" s="45"/>
      <c r="AN179" s="45">
        <v>0.0</v>
      </c>
      <c r="AO179" s="55"/>
      <c r="AP179" s="54"/>
      <c r="AQ179" s="54"/>
      <c r="AR179" s="54"/>
      <c r="AS179" s="54"/>
      <c r="AT179" s="54"/>
    </row>
    <row r="180">
      <c r="A180" s="35" t="s">
        <v>1254</v>
      </c>
      <c r="B180" s="36" t="s">
        <v>1141</v>
      </c>
      <c r="C180" s="36" t="s">
        <v>1177</v>
      </c>
      <c r="D180" s="36" t="s">
        <v>1255</v>
      </c>
      <c r="E180" s="37" t="s">
        <v>1256</v>
      </c>
      <c r="F180" s="38" t="s">
        <v>1257</v>
      </c>
      <c r="G180" s="61">
        <v>9.52474773E8</v>
      </c>
      <c r="H180" s="40">
        <v>2970.0</v>
      </c>
      <c r="I180" s="40">
        <v>1126.0</v>
      </c>
      <c r="J180" s="40" t="s">
        <v>65</v>
      </c>
      <c r="K180" s="42" t="s">
        <v>1258</v>
      </c>
      <c r="L180" s="42" t="s">
        <v>67</v>
      </c>
      <c r="M180" s="42" t="s">
        <v>1182</v>
      </c>
      <c r="N180" s="43" t="s">
        <v>1148</v>
      </c>
      <c r="O180" s="44" t="s">
        <v>1149</v>
      </c>
      <c r="P180" s="45"/>
      <c r="Q180" s="45" t="s">
        <v>67</v>
      </c>
      <c r="R180" s="46">
        <v>1.0</v>
      </c>
      <c r="S180" s="45" t="s">
        <v>67</v>
      </c>
      <c r="T180" s="58"/>
      <c r="U180" s="45"/>
      <c r="V180" s="45"/>
      <c r="W180" s="63" t="s">
        <v>1238</v>
      </c>
      <c r="X180" s="49" t="s">
        <v>1259</v>
      </c>
      <c r="Y180" s="49" t="s">
        <v>1260</v>
      </c>
      <c r="Z180" s="40" t="s">
        <v>1184</v>
      </c>
      <c r="AA180" s="45" t="s">
        <v>74</v>
      </c>
      <c r="AB180" s="45" t="s">
        <v>67</v>
      </c>
      <c r="AC180" s="45" t="s">
        <v>306</v>
      </c>
      <c r="AD180" s="51" t="s">
        <v>76</v>
      </c>
      <c r="AE180" s="54"/>
      <c r="AF180" s="45" t="s">
        <v>67</v>
      </c>
      <c r="AG180" s="45"/>
      <c r="AH180" s="45">
        <v>0.0</v>
      </c>
      <c r="AI180" s="45"/>
      <c r="AJ180" s="45"/>
      <c r="AK180" s="45"/>
      <c r="AL180" s="45"/>
      <c r="AM180" s="45"/>
      <c r="AN180" s="45">
        <v>0.0</v>
      </c>
      <c r="AO180" s="55"/>
      <c r="AP180" s="54"/>
      <c r="AQ180" s="54"/>
      <c r="AR180" s="54"/>
      <c r="AS180" s="54"/>
      <c r="AT180" s="54"/>
    </row>
    <row r="181">
      <c r="A181" s="35" t="s">
        <v>1261</v>
      </c>
      <c r="B181" s="36" t="s">
        <v>1141</v>
      </c>
      <c r="C181" s="36" t="s">
        <v>1177</v>
      </c>
      <c r="D181" s="36" t="s">
        <v>1262</v>
      </c>
      <c r="E181" s="37" t="s">
        <v>1263</v>
      </c>
      <c r="F181" s="38" t="s">
        <v>1264</v>
      </c>
      <c r="G181" s="61">
        <v>9.54190022E8</v>
      </c>
      <c r="H181" s="40"/>
      <c r="I181" s="40"/>
      <c r="J181" s="40" t="s">
        <v>224</v>
      </c>
      <c r="K181" s="41" t="s">
        <v>1265</v>
      </c>
      <c r="L181" s="42" t="s">
        <v>67</v>
      </c>
      <c r="M181" s="41" t="s">
        <v>1147</v>
      </c>
      <c r="N181" s="43" t="s">
        <v>1148</v>
      </c>
      <c r="O181" s="44" t="s">
        <v>1149</v>
      </c>
      <c r="P181" s="45"/>
      <c r="Q181" s="45" t="s">
        <v>67</v>
      </c>
      <c r="R181" s="46">
        <v>1.0</v>
      </c>
      <c r="S181" s="45" t="s">
        <v>67</v>
      </c>
      <c r="T181" s="58"/>
      <c r="U181" s="45"/>
      <c r="V181" s="45"/>
      <c r="W181" s="63" t="s">
        <v>1266</v>
      </c>
      <c r="X181" s="49" t="s">
        <v>1267</v>
      </c>
      <c r="Y181" s="49" t="s">
        <v>666</v>
      </c>
      <c r="Z181" s="40" t="s">
        <v>1184</v>
      </c>
      <c r="AA181" s="45" t="s">
        <v>74</v>
      </c>
      <c r="AB181" s="45" t="s">
        <v>67</v>
      </c>
      <c r="AC181" s="45" t="s">
        <v>135</v>
      </c>
      <c r="AD181" s="51" t="s">
        <v>76</v>
      </c>
      <c r="AE181" s="54"/>
      <c r="AF181" s="45" t="s">
        <v>67</v>
      </c>
      <c r="AG181" s="45"/>
      <c r="AH181" s="45">
        <v>0.0</v>
      </c>
      <c r="AI181" s="45"/>
      <c r="AJ181" s="45"/>
      <c r="AK181" s="45"/>
      <c r="AL181" s="45"/>
      <c r="AM181" s="45"/>
      <c r="AN181" s="45">
        <v>0.0</v>
      </c>
      <c r="AO181" s="55"/>
      <c r="AP181" s="54"/>
      <c r="AQ181" s="54"/>
      <c r="AR181" s="54"/>
      <c r="AS181" s="54"/>
      <c r="AT181" s="54"/>
    </row>
    <row r="182">
      <c r="A182" s="35" t="s">
        <v>1268</v>
      </c>
      <c r="B182" s="36" t="s">
        <v>1141</v>
      </c>
      <c r="C182" s="36" t="s">
        <v>1163</v>
      </c>
      <c r="D182" s="61" t="s">
        <v>1269</v>
      </c>
      <c r="E182" s="37" t="s">
        <v>1270</v>
      </c>
      <c r="F182" s="38" t="s">
        <v>1271</v>
      </c>
      <c r="G182" s="61">
        <v>9.52381549E8</v>
      </c>
      <c r="H182" s="40">
        <v>2866.0</v>
      </c>
      <c r="I182" s="40">
        <v>866.0</v>
      </c>
      <c r="J182" s="40" t="s">
        <v>65</v>
      </c>
      <c r="K182" s="41" t="s">
        <v>1272</v>
      </c>
      <c r="L182" s="42" t="s">
        <v>67</v>
      </c>
      <c r="M182" s="41" t="s">
        <v>1147</v>
      </c>
      <c r="N182" s="43" t="s">
        <v>1148</v>
      </c>
      <c r="O182" s="44" t="s">
        <v>1149</v>
      </c>
      <c r="P182" s="45"/>
      <c r="Q182" s="45" t="s">
        <v>67</v>
      </c>
      <c r="R182" s="46">
        <v>1.0</v>
      </c>
      <c r="S182" s="45" t="s">
        <v>67</v>
      </c>
      <c r="T182" s="58"/>
      <c r="U182" s="45"/>
      <c r="V182" s="45"/>
      <c r="W182" s="63" t="s">
        <v>1273</v>
      </c>
      <c r="X182" s="49" t="s">
        <v>1274</v>
      </c>
      <c r="Y182" s="49" t="s">
        <v>1275</v>
      </c>
      <c r="Z182" s="40" t="s">
        <v>1184</v>
      </c>
      <c r="AA182" s="45" t="s">
        <v>74</v>
      </c>
      <c r="AB182" s="45" t="s">
        <v>67</v>
      </c>
      <c r="AC182" s="45" t="s">
        <v>306</v>
      </c>
      <c r="AD182" s="51" t="s">
        <v>76</v>
      </c>
      <c r="AE182" s="54"/>
      <c r="AF182" s="45" t="s">
        <v>67</v>
      </c>
      <c r="AG182" s="45"/>
      <c r="AH182" s="45">
        <v>0.0</v>
      </c>
      <c r="AI182" s="45"/>
      <c r="AJ182" s="45"/>
      <c r="AK182" s="45"/>
      <c r="AL182" s="45"/>
      <c r="AM182" s="45"/>
      <c r="AN182" s="45">
        <v>0.0</v>
      </c>
      <c r="AO182" s="55"/>
      <c r="AP182" s="54"/>
      <c r="AQ182" s="54"/>
      <c r="AR182" s="54"/>
      <c r="AS182" s="54"/>
      <c r="AT182" s="54"/>
    </row>
    <row r="183">
      <c r="A183" s="35" t="s">
        <v>1268</v>
      </c>
      <c r="B183" s="36" t="s">
        <v>1141</v>
      </c>
      <c r="C183" s="36" t="s">
        <v>1163</v>
      </c>
      <c r="D183" s="61" t="s">
        <v>1269</v>
      </c>
      <c r="E183" s="37" t="s">
        <v>1276</v>
      </c>
      <c r="F183" s="77" t="s">
        <v>1277</v>
      </c>
      <c r="G183" s="61">
        <v>9.3184177E8</v>
      </c>
      <c r="H183" s="40"/>
      <c r="I183" s="40">
        <v>1124.0</v>
      </c>
      <c r="J183" s="40" t="s">
        <v>65</v>
      </c>
      <c r="K183" s="42" t="s">
        <v>1278</v>
      </c>
      <c r="L183" s="42" t="s">
        <v>67</v>
      </c>
      <c r="M183" s="41" t="s">
        <v>1147</v>
      </c>
      <c r="N183" s="43" t="s">
        <v>1148</v>
      </c>
      <c r="O183" s="44" t="s">
        <v>1149</v>
      </c>
      <c r="P183" s="45"/>
      <c r="Q183" s="45" t="s">
        <v>67</v>
      </c>
      <c r="R183" s="46">
        <v>1.0</v>
      </c>
      <c r="S183" s="45" t="s">
        <v>67</v>
      </c>
      <c r="T183" s="58"/>
      <c r="U183" s="45"/>
      <c r="V183" s="45"/>
      <c r="W183" s="63" t="s">
        <v>1273</v>
      </c>
      <c r="X183" s="49" t="s">
        <v>1274</v>
      </c>
      <c r="Y183" s="49" t="s">
        <v>1275</v>
      </c>
      <c r="Z183" s="40" t="s">
        <v>1184</v>
      </c>
      <c r="AA183" s="45" t="s">
        <v>74</v>
      </c>
      <c r="AB183" s="45" t="s">
        <v>67</v>
      </c>
      <c r="AC183" s="45" t="s">
        <v>306</v>
      </c>
      <c r="AD183" s="51" t="s">
        <v>76</v>
      </c>
      <c r="AE183" s="54"/>
      <c r="AF183" s="45" t="s">
        <v>67</v>
      </c>
      <c r="AG183" s="45"/>
      <c r="AH183" s="45">
        <v>0.0</v>
      </c>
      <c r="AI183" s="45"/>
      <c r="AJ183" s="45"/>
      <c r="AK183" s="45"/>
      <c r="AL183" s="45"/>
      <c r="AM183" s="45"/>
      <c r="AN183" s="45">
        <v>0.0</v>
      </c>
      <c r="AO183" s="55"/>
      <c r="AP183" s="54"/>
      <c r="AQ183" s="54"/>
      <c r="AR183" s="54"/>
      <c r="AS183" s="54"/>
      <c r="AT183" s="54"/>
    </row>
    <row r="184" hidden="1">
      <c r="A184" s="35" t="s">
        <v>1279</v>
      </c>
      <c r="B184" s="36" t="s">
        <v>1141</v>
      </c>
      <c r="C184" s="36" t="s">
        <v>1195</v>
      </c>
      <c r="D184" s="61" t="s">
        <v>1280</v>
      </c>
      <c r="E184" s="37" t="s">
        <v>1225</v>
      </c>
      <c r="F184" s="38"/>
      <c r="G184" s="61"/>
      <c r="H184" s="40" t="s">
        <v>200</v>
      </c>
      <c r="I184" s="40" t="s">
        <v>1281</v>
      </c>
      <c r="J184" s="40" t="s">
        <v>149</v>
      </c>
      <c r="K184" s="41" t="s">
        <v>1282</v>
      </c>
      <c r="L184" s="42" t="s">
        <v>74</v>
      </c>
      <c r="M184" s="41" t="s">
        <v>1200</v>
      </c>
      <c r="N184" s="43" t="s">
        <v>1201</v>
      </c>
      <c r="O184" s="42" t="s">
        <v>1202</v>
      </c>
      <c r="P184" s="45"/>
      <c r="Q184" s="45" t="s">
        <v>67</v>
      </c>
      <c r="R184" s="46">
        <v>1.0</v>
      </c>
      <c r="S184" s="45"/>
      <c r="T184" s="64"/>
      <c r="U184" s="45"/>
      <c r="V184" s="45"/>
      <c r="W184" s="103"/>
      <c r="X184" s="49" t="s">
        <v>205</v>
      </c>
      <c r="Y184" s="49"/>
      <c r="Z184" s="40" t="s">
        <v>1184</v>
      </c>
      <c r="AA184" s="45" t="s">
        <v>74</v>
      </c>
      <c r="AB184" s="45" t="s">
        <v>67</v>
      </c>
      <c r="AC184" s="45"/>
      <c r="AD184" s="51" t="s">
        <v>76</v>
      </c>
      <c r="AE184" s="54"/>
      <c r="AF184" s="45"/>
      <c r="AG184" s="45"/>
      <c r="AH184" s="45">
        <v>0.0</v>
      </c>
      <c r="AI184" s="45"/>
      <c r="AJ184" s="45"/>
      <c r="AK184" s="45"/>
      <c r="AL184" s="45"/>
      <c r="AM184" s="45"/>
      <c r="AN184" s="45">
        <v>0.0</v>
      </c>
      <c r="AO184" s="55"/>
      <c r="AP184" s="54"/>
      <c r="AQ184" s="54"/>
      <c r="AR184" s="54"/>
      <c r="AS184" s="54"/>
      <c r="AT184" s="54"/>
    </row>
    <row r="185">
      <c r="A185" s="35" t="s">
        <v>1283</v>
      </c>
      <c r="B185" s="36" t="s">
        <v>1141</v>
      </c>
      <c r="C185" s="36" t="s">
        <v>1284</v>
      </c>
      <c r="D185" s="36" t="s">
        <v>1285</v>
      </c>
      <c r="E185" s="37" t="s">
        <v>1286</v>
      </c>
      <c r="F185" s="38" t="s">
        <v>1287</v>
      </c>
      <c r="G185" s="61">
        <v>9.06020643E8</v>
      </c>
      <c r="H185" s="40"/>
      <c r="I185" s="40"/>
      <c r="J185" s="40" t="s">
        <v>224</v>
      </c>
      <c r="K185" s="41" t="s">
        <v>1288</v>
      </c>
      <c r="L185" s="42" t="s">
        <v>67</v>
      </c>
      <c r="M185" s="41" t="s">
        <v>1147</v>
      </c>
      <c r="N185" s="43" t="s">
        <v>1148</v>
      </c>
      <c r="O185" s="44" t="s">
        <v>1149</v>
      </c>
      <c r="P185" s="45"/>
      <c r="Q185" s="45" t="s">
        <v>67</v>
      </c>
      <c r="R185" s="46">
        <v>1.0</v>
      </c>
      <c r="S185" s="45" t="s">
        <v>67</v>
      </c>
      <c r="T185" s="58" t="s">
        <v>1289</v>
      </c>
      <c r="U185" s="45"/>
      <c r="V185" s="45"/>
      <c r="W185" s="63" t="s">
        <v>1290</v>
      </c>
      <c r="X185" s="49" t="s">
        <v>1291</v>
      </c>
      <c r="Y185" s="49" t="s">
        <v>1292</v>
      </c>
      <c r="Z185" s="40" t="s">
        <v>1184</v>
      </c>
      <c r="AA185" s="45" t="s">
        <v>74</v>
      </c>
      <c r="AB185" s="45" t="s">
        <v>67</v>
      </c>
      <c r="AC185" s="45" t="s">
        <v>306</v>
      </c>
      <c r="AD185" s="51" t="s">
        <v>76</v>
      </c>
      <c r="AE185" s="54"/>
      <c r="AF185" s="45" t="s">
        <v>67</v>
      </c>
      <c r="AG185" s="45"/>
      <c r="AH185" s="45">
        <v>0.0</v>
      </c>
      <c r="AI185" s="45"/>
      <c r="AJ185" s="45"/>
      <c r="AK185" s="45"/>
      <c r="AL185" s="45"/>
      <c r="AM185" s="45"/>
      <c r="AN185" s="45">
        <v>0.0</v>
      </c>
      <c r="AO185" s="55"/>
      <c r="AP185" s="54"/>
      <c r="AQ185" s="54"/>
      <c r="AR185" s="54"/>
      <c r="AS185" s="54"/>
      <c r="AT185" s="54"/>
    </row>
    <row r="186">
      <c r="A186" s="35" t="s">
        <v>1293</v>
      </c>
      <c r="B186" s="36" t="s">
        <v>1141</v>
      </c>
      <c r="C186" s="36" t="s">
        <v>1294</v>
      </c>
      <c r="D186" s="61" t="s">
        <v>1295</v>
      </c>
      <c r="E186" s="37" t="s">
        <v>1296</v>
      </c>
      <c r="F186" s="38" t="s">
        <v>1297</v>
      </c>
      <c r="G186" s="61">
        <v>9.44159876E8</v>
      </c>
      <c r="H186" s="40">
        <v>2603.0</v>
      </c>
      <c r="I186" s="40">
        <v>862.0</v>
      </c>
      <c r="J186" s="40" t="s">
        <v>65</v>
      </c>
      <c r="K186" s="42" t="s">
        <v>1298</v>
      </c>
      <c r="L186" s="42" t="s">
        <v>74</v>
      </c>
      <c r="M186" s="41" t="s">
        <v>1147</v>
      </c>
      <c r="N186" s="43" t="s">
        <v>1148</v>
      </c>
      <c r="O186" s="44" t="s">
        <v>1149</v>
      </c>
      <c r="P186" s="45"/>
      <c r="Q186" s="45" t="s">
        <v>67</v>
      </c>
      <c r="R186" s="46">
        <v>1.0</v>
      </c>
      <c r="S186" s="45" t="s">
        <v>67</v>
      </c>
      <c r="T186" s="58"/>
      <c r="U186" s="45"/>
      <c r="V186" s="45"/>
      <c r="W186" s="63" t="s">
        <v>1299</v>
      </c>
      <c r="X186" s="49" t="s">
        <v>1300</v>
      </c>
      <c r="Y186" s="49"/>
      <c r="Z186" s="40" t="s">
        <v>1184</v>
      </c>
      <c r="AA186" s="45" t="s">
        <v>74</v>
      </c>
      <c r="AB186" s="45" t="s">
        <v>67</v>
      </c>
      <c r="AC186" s="45" t="s">
        <v>135</v>
      </c>
      <c r="AD186" s="51" t="s">
        <v>76</v>
      </c>
      <c r="AE186" s="54"/>
      <c r="AF186" s="45"/>
      <c r="AG186" s="45"/>
      <c r="AH186" s="45">
        <v>0.0</v>
      </c>
      <c r="AI186" s="45"/>
      <c r="AJ186" s="45"/>
      <c r="AK186" s="45"/>
      <c r="AL186" s="45"/>
      <c r="AM186" s="45"/>
      <c r="AN186" s="45">
        <v>0.0</v>
      </c>
      <c r="AO186" s="55"/>
      <c r="AP186" s="157" t="s">
        <v>1301</v>
      </c>
      <c r="AQ186" s="54"/>
      <c r="AR186" s="54"/>
      <c r="AS186" s="54"/>
      <c r="AT186" s="54"/>
    </row>
    <row r="187">
      <c r="A187" s="35" t="s">
        <v>1293</v>
      </c>
      <c r="B187" s="36" t="s">
        <v>1141</v>
      </c>
      <c r="C187" s="36" t="s">
        <v>1294</v>
      </c>
      <c r="D187" s="61" t="s">
        <v>1295</v>
      </c>
      <c r="E187" s="37" t="s">
        <v>1302</v>
      </c>
      <c r="F187" s="38" t="s">
        <v>1303</v>
      </c>
      <c r="G187" s="61">
        <v>9.91411115E8</v>
      </c>
      <c r="H187" s="40">
        <v>2605.0</v>
      </c>
      <c r="I187" s="40">
        <v>861.0</v>
      </c>
      <c r="J187" s="40" t="s">
        <v>65</v>
      </c>
      <c r="K187" s="41" t="s">
        <v>1304</v>
      </c>
      <c r="L187" s="42" t="s">
        <v>74</v>
      </c>
      <c r="M187" s="41" t="s">
        <v>1147</v>
      </c>
      <c r="N187" s="43" t="s">
        <v>1148</v>
      </c>
      <c r="O187" s="44" t="s">
        <v>1149</v>
      </c>
      <c r="P187" s="45"/>
      <c r="Q187" s="45" t="s">
        <v>67</v>
      </c>
      <c r="R187" s="46">
        <v>1.0</v>
      </c>
      <c r="S187" s="45" t="s">
        <v>67</v>
      </c>
      <c r="T187" s="58"/>
      <c r="U187" s="45"/>
      <c r="V187" s="45"/>
      <c r="W187" s="63" t="s">
        <v>1299</v>
      </c>
      <c r="X187" s="49" t="s">
        <v>1300</v>
      </c>
      <c r="Y187" s="49"/>
      <c r="Z187" s="40" t="s">
        <v>1184</v>
      </c>
      <c r="AA187" s="45" t="s">
        <v>74</v>
      </c>
      <c r="AB187" s="45" t="s">
        <v>67</v>
      </c>
      <c r="AC187" s="45" t="s">
        <v>135</v>
      </c>
      <c r="AD187" s="51" t="s">
        <v>76</v>
      </c>
      <c r="AE187" s="54"/>
      <c r="AF187" s="45"/>
      <c r="AG187" s="45"/>
      <c r="AH187" s="45">
        <v>0.0</v>
      </c>
      <c r="AI187" s="45"/>
      <c r="AJ187" s="45"/>
      <c r="AK187" s="45"/>
      <c r="AL187" s="45"/>
      <c r="AM187" s="45"/>
      <c r="AN187" s="45">
        <v>0.0</v>
      </c>
      <c r="AO187" s="55"/>
      <c r="AP187" s="54"/>
      <c r="AQ187" s="54"/>
      <c r="AR187" s="54"/>
      <c r="AS187" s="54"/>
      <c r="AT187" s="54"/>
    </row>
    <row r="188">
      <c r="A188" s="35" t="s">
        <v>1305</v>
      </c>
      <c r="B188" s="36" t="s">
        <v>1141</v>
      </c>
      <c r="C188" s="36" t="s">
        <v>1163</v>
      </c>
      <c r="D188" s="61" t="s">
        <v>1118</v>
      </c>
      <c r="E188" s="37" t="s">
        <v>1306</v>
      </c>
      <c r="F188" s="38" t="s">
        <v>1307</v>
      </c>
      <c r="G188" s="61">
        <v>9.46659918E8</v>
      </c>
      <c r="H188" s="40">
        <v>2865.0</v>
      </c>
      <c r="I188" s="40">
        <v>867.0</v>
      </c>
      <c r="J188" s="40" t="s">
        <v>65</v>
      </c>
      <c r="K188" s="42" t="s">
        <v>1308</v>
      </c>
      <c r="L188" s="42" t="s">
        <v>67</v>
      </c>
      <c r="M188" s="42" t="s">
        <v>1309</v>
      </c>
      <c r="N188" s="43" t="s">
        <v>1148</v>
      </c>
      <c r="O188" s="44" t="s">
        <v>1149</v>
      </c>
      <c r="P188" s="45" t="s">
        <v>67</v>
      </c>
      <c r="Q188" s="45" t="s">
        <v>67</v>
      </c>
      <c r="R188" s="46">
        <v>1.0</v>
      </c>
      <c r="S188" s="45" t="s">
        <v>67</v>
      </c>
      <c r="T188" s="58"/>
      <c r="U188" s="45"/>
      <c r="V188" s="45"/>
      <c r="W188" s="63" t="s">
        <v>1310</v>
      </c>
      <c r="X188" s="49" t="s">
        <v>1191</v>
      </c>
      <c r="Y188" s="49"/>
      <c r="Z188" s="40" t="s">
        <v>1184</v>
      </c>
      <c r="AA188" s="45" t="s">
        <v>74</v>
      </c>
      <c r="AB188" s="45" t="s">
        <v>67</v>
      </c>
      <c r="AC188" s="45" t="s">
        <v>553</v>
      </c>
      <c r="AD188" s="51" t="s">
        <v>76</v>
      </c>
      <c r="AE188" s="54"/>
      <c r="AF188" s="45" t="s">
        <v>67</v>
      </c>
      <c r="AG188" s="45"/>
      <c r="AH188" s="45">
        <v>0.0</v>
      </c>
      <c r="AI188" s="45"/>
      <c r="AJ188" s="45"/>
      <c r="AK188" s="45"/>
      <c r="AL188" s="45"/>
      <c r="AM188" s="45"/>
      <c r="AN188" s="45">
        <v>0.0</v>
      </c>
      <c r="AO188" s="55"/>
      <c r="AP188" s="54"/>
      <c r="AQ188" s="54"/>
      <c r="AR188" s="54"/>
      <c r="AS188" s="54"/>
      <c r="AT188" s="54"/>
    </row>
    <row r="189">
      <c r="A189" s="35" t="s">
        <v>1311</v>
      </c>
      <c r="B189" s="36" t="s">
        <v>1141</v>
      </c>
      <c r="C189" s="36" t="s">
        <v>1177</v>
      </c>
      <c r="D189" s="36" t="s">
        <v>1312</v>
      </c>
      <c r="E189" s="37" t="s">
        <v>1313</v>
      </c>
      <c r="F189" s="38" t="s">
        <v>1314</v>
      </c>
      <c r="G189" s="61">
        <v>9.17838206E8</v>
      </c>
      <c r="H189" s="40">
        <v>2862.0</v>
      </c>
      <c r="I189" s="40">
        <v>870.0</v>
      </c>
      <c r="J189" s="40" t="s">
        <v>65</v>
      </c>
      <c r="K189" s="41" t="s">
        <v>1315</v>
      </c>
      <c r="L189" s="42" t="s">
        <v>67</v>
      </c>
      <c r="M189" s="42" t="s">
        <v>1182</v>
      </c>
      <c r="N189" s="43" t="s">
        <v>1148</v>
      </c>
      <c r="O189" s="44" t="s">
        <v>1149</v>
      </c>
      <c r="P189" s="45"/>
      <c r="Q189" s="45" t="s">
        <v>67</v>
      </c>
      <c r="R189" s="46">
        <v>1.0</v>
      </c>
      <c r="S189" s="58" t="s">
        <v>67</v>
      </c>
      <c r="T189" s="58"/>
      <c r="U189" s="45"/>
      <c r="V189" s="45"/>
      <c r="W189" s="63" t="s">
        <v>1316</v>
      </c>
      <c r="X189" s="49" t="s">
        <v>488</v>
      </c>
      <c r="Y189" s="49" t="s">
        <v>1240</v>
      </c>
      <c r="Z189" s="40" t="s">
        <v>1184</v>
      </c>
      <c r="AA189" s="45" t="s">
        <v>74</v>
      </c>
      <c r="AB189" s="45" t="s">
        <v>67</v>
      </c>
      <c r="AC189" s="45" t="s">
        <v>306</v>
      </c>
      <c r="AD189" s="51" t="s">
        <v>76</v>
      </c>
      <c r="AE189" s="54"/>
      <c r="AF189" s="45" t="s">
        <v>67</v>
      </c>
      <c r="AG189" s="45"/>
      <c r="AH189" s="45">
        <v>0.0</v>
      </c>
      <c r="AI189" s="45"/>
      <c r="AJ189" s="45"/>
      <c r="AK189" s="45"/>
      <c r="AL189" s="45"/>
      <c r="AM189" s="45"/>
      <c r="AN189" s="45">
        <v>0.0</v>
      </c>
      <c r="AO189" s="55"/>
      <c r="AP189" s="54"/>
      <c r="AQ189" s="54"/>
      <c r="AR189" s="54"/>
      <c r="AS189" s="54"/>
      <c r="AT189" s="54"/>
    </row>
    <row r="190">
      <c r="A190" s="35" t="s">
        <v>1317</v>
      </c>
      <c r="B190" s="36" t="s">
        <v>1141</v>
      </c>
      <c r="C190" s="36" t="s">
        <v>1223</v>
      </c>
      <c r="D190" s="36" t="s">
        <v>1318</v>
      </c>
      <c r="E190" s="37" t="s">
        <v>1319</v>
      </c>
      <c r="F190" s="38" t="s">
        <v>1320</v>
      </c>
      <c r="G190" s="61">
        <v>9.16051827E8</v>
      </c>
      <c r="H190" s="40">
        <v>2867.0</v>
      </c>
      <c r="I190" s="40">
        <v>865.0</v>
      </c>
      <c r="J190" s="40" t="s">
        <v>65</v>
      </c>
      <c r="K190" s="41" t="s">
        <v>1321</v>
      </c>
      <c r="L190" s="42" t="s">
        <v>67</v>
      </c>
      <c r="M190" s="41" t="s">
        <v>1147</v>
      </c>
      <c r="N190" s="43" t="s">
        <v>1148</v>
      </c>
      <c r="O190" s="44" t="s">
        <v>1149</v>
      </c>
      <c r="P190" s="45"/>
      <c r="Q190" s="45" t="s">
        <v>67</v>
      </c>
      <c r="R190" s="46">
        <v>1.0</v>
      </c>
      <c r="S190" s="45" t="s">
        <v>67</v>
      </c>
      <c r="T190" s="58"/>
      <c r="U190" s="45"/>
      <c r="V190" s="45"/>
      <c r="W190" s="63" t="s">
        <v>1316</v>
      </c>
      <c r="X190" s="49" t="s">
        <v>1322</v>
      </c>
      <c r="Y190" s="49" t="s">
        <v>1240</v>
      </c>
      <c r="Z190" s="40" t="s">
        <v>1184</v>
      </c>
      <c r="AA190" s="45" t="s">
        <v>74</v>
      </c>
      <c r="AB190" s="45" t="s">
        <v>67</v>
      </c>
      <c r="AC190" s="45" t="s">
        <v>306</v>
      </c>
      <c r="AD190" s="51" t="s">
        <v>76</v>
      </c>
      <c r="AE190" s="54"/>
      <c r="AF190" s="45" t="s">
        <v>67</v>
      </c>
      <c r="AG190" s="45"/>
      <c r="AH190" s="45">
        <v>0.0</v>
      </c>
      <c r="AI190" s="45"/>
      <c r="AJ190" s="45"/>
      <c r="AK190" s="45"/>
      <c r="AL190" s="45"/>
      <c r="AM190" s="45"/>
      <c r="AN190" s="45">
        <v>0.0</v>
      </c>
      <c r="AO190" s="55"/>
      <c r="AP190" s="54"/>
      <c r="AQ190" s="54"/>
      <c r="AR190" s="54"/>
      <c r="AS190" s="54"/>
      <c r="AT190" s="54"/>
    </row>
    <row r="191">
      <c r="A191" s="35" t="s">
        <v>1323</v>
      </c>
      <c r="B191" s="36" t="s">
        <v>1141</v>
      </c>
      <c r="C191" s="36" t="s">
        <v>1324</v>
      </c>
      <c r="D191" s="36" t="s">
        <v>1325</v>
      </c>
      <c r="E191" s="37" t="s">
        <v>1326</v>
      </c>
      <c r="F191" s="38" t="s">
        <v>1327</v>
      </c>
      <c r="G191" s="61">
        <v>9.83783977E8</v>
      </c>
      <c r="H191" s="40">
        <v>2859.0</v>
      </c>
      <c r="I191" s="40">
        <v>873.0</v>
      </c>
      <c r="J191" s="40" t="s">
        <v>65</v>
      </c>
      <c r="K191" s="42" t="s">
        <v>1328</v>
      </c>
      <c r="L191" s="42" t="s">
        <v>67</v>
      </c>
      <c r="M191" s="41" t="s">
        <v>1147</v>
      </c>
      <c r="N191" s="43" t="s">
        <v>1148</v>
      </c>
      <c r="O191" s="44" t="s">
        <v>1149</v>
      </c>
      <c r="P191" s="45"/>
      <c r="Q191" s="45" t="s">
        <v>67</v>
      </c>
      <c r="R191" s="46">
        <v>1.0</v>
      </c>
      <c r="S191" s="45" t="s">
        <v>67</v>
      </c>
      <c r="T191" s="58"/>
      <c r="U191" s="45"/>
      <c r="V191" s="45"/>
      <c r="W191" s="63" t="s">
        <v>1329</v>
      </c>
      <c r="X191" s="49" t="s">
        <v>1330</v>
      </c>
      <c r="Y191" s="49" t="s">
        <v>378</v>
      </c>
      <c r="Z191" s="40" t="s">
        <v>1184</v>
      </c>
      <c r="AA191" s="45" t="s">
        <v>74</v>
      </c>
      <c r="AB191" s="45" t="s">
        <v>67</v>
      </c>
      <c r="AC191" s="45" t="s">
        <v>475</v>
      </c>
      <c r="AD191" s="51" t="s">
        <v>76</v>
      </c>
      <c r="AE191" s="54"/>
      <c r="AF191" s="45" t="s">
        <v>67</v>
      </c>
      <c r="AG191" s="45"/>
      <c r="AH191" s="45">
        <v>0.0</v>
      </c>
      <c r="AI191" s="45"/>
      <c r="AJ191" s="45"/>
      <c r="AK191" s="45"/>
      <c r="AL191" s="45"/>
      <c r="AM191" s="45"/>
      <c r="AN191" s="45">
        <v>0.0</v>
      </c>
      <c r="AO191" s="55"/>
      <c r="AP191" s="54"/>
      <c r="AQ191" s="54"/>
      <c r="AR191" s="54"/>
      <c r="AS191" s="54"/>
      <c r="AT191" s="54"/>
    </row>
    <row r="192" hidden="1">
      <c r="A192" s="35" t="s">
        <v>1331</v>
      </c>
      <c r="B192" s="36" t="s">
        <v>1332</v>
      </c>
      <c r="C192" s="36" t="s">
        <v>1333</v>
      </c>
      <c r="D192" s="61" t="s">
        <v>1334</v>
      </c>
      <c r="E192" s="37" t="s">
        <v>1225</v>
      </c>
      <c r="F192" s="39"/>
      <c r="G192" s="61"/>
      <c r="H192" s="61" t="s">
        <v>209</v>
      </c>
      <c r="I192" s="61" t="s">
        <v>201</v>
      </c>
      <c r="J192" s="40" t="s">
        <v>149</v>
      </c>
      <c r="K192" s="41" t="s">
        <v>1335</v>
      </c>
      <c r="L192" s="42" t="s">
        <v>74</v>
      </c>
      <c r="M192" s="41" t="s">
        <v>1336</v>
      </c>
      <c r="N192" s="43" t="s">
        <v>1337</v>
      </c>
      <c r="O192" s="59" t="s">
        <v>1338</v>
      </c>
      <c r="P192" s="45"/>
      <c r="Q192" s="45" t="s">
        <v>67</v>
      </c>
      <c r="R192" s="46">
        <v>2.0</v>
      </c>
      <c r="S192" s="45"/>
      <c r="T192" s="64"/>
      <c r="U192" s="45"/>
      <c r="V192" s="45"/>
      <c r="W192" s="103"/>
      <c r="X192" s="49" t="s">
        <v>205</v>
      </c>
      <c r="Y192" s="49"/>
      <c r="Z192" s="40" t="s">
        <v>1184</v>
      </c>
      <c r="AA192" s="45" t="s">
        <v>74</v>
      </c>
      <c r="AB192" s="45" t="s">
        <v>67</v>
      </c>
      <c r="AC192" s="45"/>
      <c r="AD192" s="51" t="s">
        <v>76</v>
      </c>
      <c r="AE192" s="54"/>
      <c r="AF192" s="45"/>
      <c r="AG192" s="45"/>
      <c r="AH192" s="45">
        <v>0.0</v>
      </c>
      <c r="AI192" s="45"/>
      <c r="AJ192" s="45"/>
      <c r="AK192" s="45"/>
      <c r="AL192" s="45"/>
      <c r="AM192" s="45"/>
      <c r="AN192" s="45">
        <v>0.0</v>
      </c>
      <c r="AO192" s="55"/>
      <c r="AP192" s="54"/>
      <c r="AQ192" s="54"/>
      <c r="AR192" s="54"/>
      <c r="AS192" s="54"/>
      <c r="AT192" s="54"/>
    </row>
    <row r="193">
      <c r="A193" s="35" t="s">
        <v>1339</v>
      </c>
      <c r="B193" s="36" t="s">
        <v>1332</v>
      </c>
      <c r="C193" s="36" t="s">
        <v>1332</v>
      </c>
      <c r="D193" s="36" t="s">
        <v>1340</v>
      </c>
      <c r="E193" s="37" t="s">
        <v>1341</v>
      </c>
      <c r="F193" s="38" t="s">
        <v>1342</v>
      </c>
      <c r="G193" s="61">
        <v>9.86876856E8</v>
      </c>
      <c r="H193" s="40">
        <v>2815.0</v>
      </c>
      <c r="I193" s="40">
        <v>1015.0</v>
      </c>
      <c r="J193" s="40" t="s">
        <v>65</v>
      </c>
      <c r="K193" s="41" t="s">
        <v>1343</v>
      </c>
      <c r="L193" s="42" t="s">
        <v>74</v>
      </c>
      <c r="M193" s="41" t="s">
        <v>1336</v>
      </c>
      <c r="N193" s="43" t="s">
        <v>1337</v>
      </c>
      <c r="O193" s="59" t="s">
        <v>1338</v>
      </c>
      <c r="P193" s="45"/>
      <c r="Q193" s="45" t="s">
        <v>67</v>
      </c>
      <c r="R193" s="46">
        <v>1.0</v>
      </c>
      <c r="S193" s="45" t="s">
        <v>67</v>
      </c>
      <c r="T193" s="58"/>
      <c r="U193" s="45"/>
      <c r="V193" s="45"/>
      <c r="W193" s="158" t="s">
        <v>1344</v>
      </c>
      <c r="X193" s="49" t="s">
        <v>1345</v>
      </c>
      <c r="Y193" s="49" t="s">
        <v>1346</v>
      </c>
      <c r="Z193" s="40" t="s">
        <v>1184</v>
      </c>
      <c r="AA193" s="45" t="s">
        <v>67</v>
      </c>
      <c r="AB193" s="45" t="s">
        <v>67</v>
      </c>
      <c r="AC193" s="45" t="s">
        <v>458</v>
      </c>
      <c r="AD193" s="51" t="s">
        <v>76</v>
      </c>
      <c r="AE193" s="54"/>
      <c r="AF193" s="45" t="s">
        <v>67</v>
      </c>
      <c r="AG193" s="45"/>
      <c r="AH193" s="45">
        <v>0.0</v>
      </c>
      <c r="AI193" s="45"/>
      <c r="AJ193" s="45"/>
      <c r="AK193" s="45"/>
      <c r="AL193" s="45"/>
      <c r="AM193" s="45"/>
      <c r="AN193" s="45">
        <v>0.0</v>
      </c>
      <c r="AO193" s="55"/>
      <c r="AP193" s="54"/>
      <c r="AQ193" s="54"/>
      <c r="AR193" s="54"/>
      <c r="AS193" s="54"/>
      <c r="AT193" s="54"/>
    </row>
    <row r="194">
      <c r="A194" s="35" t="s">
        <v>1347</v>
      </c>
      <c r="B194" s="36" t="s">
        <v>1332</v>
      </c>
      <c r="C194" s="36" t="s">
        <v>1348</v>
      </c>
      <c r="D194" s="36" t="s">
        <v>1349</v>
      </c>
      <c r="E194" s="37" t="s">
        <v>1350</v>
      </c>
      <c r="F194" s="38" t="s">
        <v>1351</v>
      </c>
      <c r="G194" s="61">
        <v>9.18539674E8</v>
      </c>
      <c r="H194" s="40">
        <v>2655.0</v>
      </c>
      <c r="I194" s="40">
        <v>1146.0</v>
      </c>
      <c r="J194" s="40" t="s">
        <v>65</v>
      </c>
      <c r="K194" s="42" t="s">
        <v>1352</v>
      </c>
      <c r="L194" s="42" t="s">
        <v>74</v>
      </c>
      <c r="M194" s="41" t="s">
        <v>1336</v>
      </c>
      <c r="N194" s="43" t="s">
        <v>1337</v>
      </c>
      <c r="O194" s="59" t="s">
        <v>1338</v>
      </c>
      <c r="P194" s="45"/>
      <c r="Q194" s="45" t="s">
        <v>67</v>
      </c>
      <c r="R194" s="46">
        <v>1.0</v>
      </c>
      <c r="S194" s="45" t="s">
        <v>67</v>
      </c>
      <c r="T194" s="58"/>
      <c r="U194" s="45" t="s">
        <v>67</v>
      </c>
      <c r="V194" s="45"/>
      <c r="W194" s="63" t="s">
        <v>1353</v>
      </c>
      <c r="X194" s="49" t="s">
        <v>1354</v>
      </c>
      <c r="Y194" s="49" t="s">
        <v>393</v>
      </c>
      <c r="Z194" s="40" t="s">
        <v>1184</v>
      </c>
      <c r="AA194" s="45" t="s">
        <v>74</v>
      </c>
      <c r="AB194" s="45" t="s">
        <v>67</v>
      </c>
      <c r="AC194" s="45" t="s">
        <v>287</v>
      </c>
      <c r="AD194" s="51" t="s">
        <v>76</v>
      </c>
      <c r="AE194" s="54"/>
      <c r="AF194" s="45" t="s">
        <v>67</v>
      </c>
      <c r="AG194" s="45"/>
      <c r="AH194" s="45">
        <v>0.0</v>
      </c>
      <c r="AI194" s="45"/>
      <c r="AJ194" s="45"/>
      <c r="AK194" s="45"/>
      <c r="AL194" s="45"/>
      <c r="AM194" s="45"/>
      <c r="AN194" s="45">
        <v>0.0</v>
      </c>
      <c r="AO194" s="55"/>
      <c r="AP194" s="54"/>
      <c r="AQ194" s="54"/>
      <c r="AR194" s="54"/>
      <c r="AS194" s="54"/>
      <c r="AT194" s="54"/>
    </row>
    <row r="195">
      <c r="A195" s="35" t="s">
        <v>1355</v>
      </c>
      <c r="B195" s="36" t="s">
        <v>1332</v>
      </c>
      <c r="C195" s="36" t="s">
        <v>1333</v>
      </c>
      <c r="D195" s="36" t="s">
        <v>1356</v>
      </c>
      <c r="E195" s="37" t="s">
        <v>1357</v>
      </c>
      <c r="F195" s="38" t="s">
        <v>1358</v>
      </c>
      <c r="G195" s="61">
        <v>9.20688608E8</v>
      </c>
      <c r="H195" s="40">
        <v>2653.0</v>
      </c>
      <c r="I195" s="40">
        <v>1144.0</v>
      </c>
      <c r="J195" s="40" t="s">
        <v>65</v>
      </c>
      <c r="K195" s="41" t="s">
        <v>1359</v>
      </c>
      <c r="L195" s="42" t="s">
        <v>67</v>
      </c>
      <c r="M195" s="41" t="s">
        <v>1336</v>
      </c>
      <c r="N195" s="43" t="s">
        <v>1337</v>
      </c>
      <c r="O195" s="59" t="s">
        <v>1338</v>
      </c>
      <c r="P195" s="45"/>
      <c r="Q195" s="45" t="s">
        <v>67</v>
      </c>
      <c r="R195" s="46">
        <v>2.0</v>
      </c>
      <c r="S195" s="45" t="s">
        <v>67</v>
      </c>
      <c r="T195" s="58"/>
      <c r="U195" s="45" t="s">
        <v>67</v>
      </c>
      <c r="V195" s="45"/>
      <c r="W195" s="63" t="s">
        <v>1360</v>
      </c>
      <c r="X195" s="49" t="s">
        <v>488</v>
      </c>
      <c r="Y195" s="49" t="s">
        <v>893</v>
      </c>
      <c r="Z195" s="40" t="s">
        <v>1184</v>
      </c>
      <c r="AA195" s="45" t="s">
        <v>74</v>
      </c>
      <c r="AB195" s="45" t="s">
        <v>67</v>
      </c>
      <c r="AC195" s="45" t="s">
        <v>86</v>
      </c>
      <c r="AD195" s="51" t="s">
        <v>76</v>
      </c>
      <c r="AE195" s="54"/>
      <c r="AF195" s="45" t="s">
        <v>67</v>
      </c>
      <c r="AG195" s="45"/>
      <c r="AH195" s="45">
        <v>0.0</v>
      </c>
      <c r="AI195" s="45"/>
      <c r="AJ195" s="45"/>
      <c r="AK195" s="45"/>
      <c r="AL195" s="45"/>
      <c r="AM195" s="45"/>
      <c r="AN195" s="45">
        <v>0.0</v>
      </c>
      <c r="AO195" s="55"/>
      <c r="AP195" s="54"/>
      <c r="AQ195" s="54"/>
      <c r="AR195" s="54"/>
      <c r="AS195" s="54"/>
      <c r="AT195" s="54"/>
    </row>
    <row r="196">
      <c r="A196" s="35" t="s">
        <v>1361</v>
      </c>
      <c r="B196" s="36" t="s">
        <v>1332</v>
      </c>
      <c r="C196" s="36" t="s">
        <v>1362</v>
      </c>
      <c r="D196" s="36" t="s">
        <v>1363</v>
      </c>
      <c r="E196" s="37" t="s">
        <v>1364</v>
      </c>
      <c r="F196" s="38" t="s">
        <v>1365</v>
      </c>
      <c r="G196" s="61">
        <v>9.51176946E8</v>
      </c>
      <c r="H196" s="40">
        <v>2814.0</v>
      </c>
      <c r="I196" s="40">
        <v>1014.0</v>
      </c>
      <c r="J196" s="40" t="s">
        <v>65</v>
      </c>
      <c r="K196" s="42" t="s">
        <v>1366</v>
      </c>
      <c r="L196" s="42" t="s">
        <v>74</v>
      </c>
      <c r="M196" s="58" t="s">
        <v>1367</v>
      </c>
      <c r="N196" s="43" t="s">
        <v>1337</v>
      </c>
      <c r="O196" s="59" t="s">
        <v>1338</v>
      </c>
      <c r="P196" s="45"/>
      <c r="Q196" s="45" t="s">
        <v>67</v>
      </c>
      <c r="R196" s="46">
        <v>3.0</v>
      </c>
      <c r="S196" s="45" t="s">
        <v>67</v>
      </c>
      <c r="T196" s="58"/>
      <c r="U196" s="45"/>
      <c r="V196" s="45"/>
      <c r="W196" s="63" t="s">
        <v>1368</v>
      </c>
      <c r="X196" s="49" t="s">
        <v>1369</v>
      </c>
      <c r="Y196" s="49" t="s">
        <v>1370</v>
      </c>
      <c r="Z196" s="40" t="s">
        <v>1184</v>
      </c>
      <c r="AA196" s="45" t="s">
        <v>74</v>
      </c>
      <c r="AB196" s="45" t="s">
        <v>67</v>
      </c>
      <c r="AC196" s="45" t="s">
        <v>195</v>
      </c>
      <c r="AD196" s="51" t="s">
        <v>76</v>
      </c>
      <c r="AE196" s="54"/>
      <c r="AF196" s="45" t="s">
        <v>67</v>
      </c>
      <c r="AG196" s="45"/>
      <c r="AH196" s="45">
        <v>0.0</v>
      </c>
      <c r="AI196" s="45"/>
      <c r="AJ196" s="45"/>
      <c r="AK196" s="45"/>
      <c r="AL196" s="45"/>
      <c r="AM196" s="45"/>
      <c r="AN196" s="45">
        <v>0.0</v>
      </c>
      <c r="AO196" s="55"/>
      <c r="AP196" s="54"/>
      <c r="AQ196" s="54"/>
      <c r="AR196" s="54"/>
      <c r="AS196" s="54"/>
      <c r="AT196" s="54"/>
    </row>
    <row r="197">
      <c r="A197" s="35" t="s">
        <v>1361</v>
      </c>
      <c r="B197" s="36" t="s">
        <v>1332</v>
      </c>
      <c r="C197" s="36" t="s">
        <v>1362</v>
      </c>
      <c r="D197" s="36" t="s">
        <v>1363</v>
      </c>
      <c r="E197" s="37" t="s">
        <v>1371</v>
      </c>
      <c r="F197" s="38" t="s">
        <v>1372</v>
      </c>
      <c r="G197" s="61">
        <v>9.54123678E8</v>
      </c>
      <c r="H197" s="40">
        <v>2790.0</v>
      </c>
      <c r="I197" s="40">
        <v>1155.0</v>
      </c>
      <c r="J197" s="40" t="s">
        <v>65</v>
      </c>
      <c r="K197" s="41" t="s">
        <v>1373</v>
      </c>
      <c r="L197" s="42" t="s">
        <v>74</v>
      </c>
      <c r="M197" s="58" t="s">
        <v>1367</v>
      </c>
      <c r="N197" s="43" t="s">
        <v>1337</v>
      </c>
      <c r="O197" s="59" t="s">
        <v>1338</v>
      </c>
      <c r="P197" s="45"/>
      <c r="Q197" s="45" t="s">
        <v>67</v>
      </c>
      <c r="R197" s="46">
        <v>2.0</v>
      </c>
      <c r="S197" s="45" t="s">
        <v>67</v>
      </c>
      <c r="T197" s="58"/>
      <c r="U197" s="45"/>
      <c r="V197" s="45"/>
      <c r="W197" s="63" t="s">
        <v>1368</v>
      </c>
      <c r="X197" s="49" t="s">
        <v>1369</v>
      </c>
      <c r="Y197" s="49" t="s">
        <v>1370</v>
      </c>
      <c r="Z197" s="40" t="s">
        <v>1184</v>
      </c>
      <c r="AA197" s="45" t="s">
        <v>74</v>
      </c>
      <c r="AB197" s="45" t="s">
        <v>67</v>
      </c>
      <c r="AC197" s="45" t="s">
        <v>195</v>
      </c>
      <c r="AD197" s="51" t="s">
        <v>76</v>
      </c>
      <c r="AE197" s="54"/>
      <c r="AF197" s="45" t="s">
        <v>67</v>
      </c>
      <c r="AG197" s="45"/>
      <c r="AH197" s="45">
        <v>0.0</v>
      </c>
      <c r="AI197" s="45"/>
      <c r="AJ197" s="45"/>
      <c r="AK197" s="45"/>
      <c r="AL197" s="45"/>
      <c r="AM197" s="45"/>
      <c r="AN197" s="45">
        <v>0.0</v>
      </c>
      <c r="AO197" s="55"/>
      <c r="AP197" s="54"/>
      <c r="AQ197" s="54"/>
      <c r="AR197" s="54"/>
      <c r="AS197" s="54"/>
      <c r="AT197" s="54"/>
    </row>
    <row r="198">
      <c r="A198" s="35" t="s">
        <v>1374</v>
      </c>
      <c r="B198" s="36" t="s">
        <v>1332</v>
      </c>
      <c r="C198" s="36" t="s">
        <v>1332</v>
      </c>
      <c r="D198" s="36" t="s">
        <v>1375</v>
      </c>
      <c r="E198" s="37" t="s">
        <v>1376</v>
      </c>
      <c r="F198" s="38" t="s">
        <v>1377</v>
      </c>
      <c r="G198" s="61">
        <v>9.15932613E8</v>
      </c>
      <c r="H198" s="40">
        <v>2940.0</v>
      </c>
      <c r="I198" s="40">
        <v>1006.0</v>
      </c>
      <c r="J198" s="40" t="s">
        <v>65</v>
      </c>
      <c r="K198" s="41" t="s">
        <v>1378</v>
      </c>
      <c r="L198" s="42" t="s">
        <v>67</v>
      </c>
      <c r="M198" s="41" t="s">
        <v>1336</v>
      </c>
      <c r="N198" s="43" t="s">
        <v>1337</v>
      </c>
      <c r="O198" s="59" t="s">
        <v>1338</v>
      </c>
      <c r="P198" s="45"/>
      <c r="Q198" s="45" t="s">
        <v>67</v>
      </c>
      <c r="R198" s="46">
        <v>1.0</v>
      </c>
      <c r="S198" s="45" t="s">
        <v>67</v>
      </c>
      <c r="T198" s="58"/>
      <c r="U198" s="45"/>
      <c r="V198" s="45"/>
      <c r="W198" s="63" t="s">
        <v>1379</v>
      </c>
      <c r="X198" s="49" t="s">
        <v>1380</v>
      </c>
      <c r="Y198" s="49" t="s">
        <v>1381</v>
      </c>
      <c r="Z198" s="40" t="s">
        <v>1184</v>
      </c>
      <c r="AA198" s="45" t="s">
        <v>74</v>
      </c>
      <c r="AB198" s="45" t="s">
        <v>67</v>
      </c>
      <c r="AC198" s="45" t="s">
        <v>306</v>
      </c>
      <c r="AD198" s="51" t="s">
        <v>76</v>
      </c>
      <c r="AE198" s="54"/>
      <c r="AF198" s="45" t="s">
        <v>67</v>
      </c>
      <c r="AG198" s="45"/>
      <c r="AH198" s="45">
        <v>0.0</v>
      </c>
      <c r="AI198" s="45"/>
      <c r="AJ198" s="45"/>
      <c r="AK198" s="45"/>
      <c r="AL198" s="45"/>
      <c r="AM198" s="45"/>
      <c r="AN198" s="45">
        <v>0.0</v>
      </c>
      <c r="AO198" s="55"/>
      <c r="AP198" s="54"/>
      <c r="AQ198" s="54"/>
      <c r="AR198" s="54"/>
      <c r="AS198" s="54"/>
      <c r="AT198" s="54"/>
    </row>
    <row r="199">
      <c r="A199" s="35" t="s">
        <v>1374</v>
      </c>
      <c r="B199" s="36" t="s">
        <v>1332</v>
      </c>
      <c r="C199" s="36" t="s">
        <v>1332</v>
      </c>
      <c r="D199" s="36" t="s">
        <v>1375</v>
      </c>
      <c r="E199" s="37" t="s">
        <v>1382</v>
      </c>
      <c r="F199" s="38" t="s">
        <v>1383</v>
      </c>
      <c r="G199" s="61">
        <v>9.3010957E8</v>
      </c>
      <c r="H199" s="40">
        <v>2943.0</v>
      </c>
      <c r="I199" s="40">
        <v>1007.0</v>
      </c>
      <c r="J199" s="40" t="s">
        <v>65</v>
      </c>
      <c r="K199" s="42" t="s">
        <v>1384</v>
      </c>
      <c r="L199" s="42" t="s">
        <v>67</v>
      </c>
      <c r="M199" s="41" t="s">
        <v>1336</v>
      </c>
      <c r="N199" s="43" t="s">
        <v>1337</v>
      </c>
      <c r="O199" s="59" t="s">
        <v>1338</v>
      </c>
      <c r="P199" s="45"/>
      <c r="Q199" s="45" t="s">
        <v>67</v>
      </c>
      <c r="R199" s="46">
        <v>1.0</v>
      </c>
      <c r="S199" s="45" t="s">
        <v>67</v>
      </c>
      <c r="T199" s="58"/>
      <c r="U199" s="45"/>
      <c r="V199" s="45"/>
      <c r="W199" s="63" t="s">
        <v>1379</v>
      </c>
      <c r="X199" s="49" t="s">
        <v>1380</v>
      </c>
      <c r="Y199" s="49" t="s">
        <v>1381</v>
      </c>
      <c r="Z199" s="40" t="s">
        <v>1184</v>
      </c>
      <c r="AA199" s="45" t="s">
        <v>74</v>
      </c>
      <c r="AB199" s="45" t="s">
        <v>67</v>
      </c>
      <c r="AC199" s="45" t="s">
        <v>306</v>
      </c>
      <c r="AD199" s="51" t="s">
        <v>76</v>
      </c>
      <c r="AE199" s="54"/>
      <c r="AF199" s="45" t="s">
        <v>67</v>
      </c>
      <c r="AG199" s="45"/>
      <c r="AH199" s="45">
        <v>0.0</v>
      </c>
      <c r="AI199" s="45"/>
      <c r="AJ199" s="45"/>
      <c r="AK199" s="45"/>
      <c r="AL199" s="45"/>
      <c r="AM199" s="45"/>
      <c r="AN199" s="45">
        <v>0.0</v>
      </c>
      <c r="AO199" s="55"/>
      <c r="AP199" s="54"/>
      <c r="AQ199" s="54"/>
      <c r="AR199" s="54"/>
      <c r="AS199" s="54"/>
      <c r="AT199" s="54"/>
    </row>
    <row r="200">
      <c r="A200" s="35" t="s">
        <v>1385</v>
      </c>
      <c r="B200" s="36" t="s">
        <v>1332</v>
      </c>
      <c r="C200" s="36" t="s">
        <v>1333</v>
      </c>
      <c r="D200" s="36" t="s">
        <v>1386</v>
      </c>
      <c r="E200" s="37" t="s">
        <v>1387</v>
      </c>
      <c r="F200" s="38" t="s">
        <v>1388</v>
      </c>
      <c r="G200" s="61">
        <v>9.50161627E8</v>
      </c>
      <c r="H200" s="40"/>
      <c r="I200" s="40"/>
      <c r="J200" s="40" t="s">
        <v>65</v>
      </c>
      <c r="K200" s="41" t="s">
        <v>1389</v>
      </c>
      <c r="L200" s="42" t="s">
        <v>67</v>
      </c>
      <c r="M200" s="41" t="s">
        <v>1336</v>
      </c>
      <c r="N200" s="43" t="s">
        <v>1337</v>
      </c>
      <c r="O200" s="59" t="s">
        <v>1338</v>
      </c>
      <c r="P200" s="45"/>
      <c r="Q200" s="45" t="s">
        <v>67</v>
      </c>
      <c r="R200" s="46">
        <v>2.0</v>
      </c>
      <c r="S200" s="45" t="s">
        <v>67</v>
      </c>
      <c r="T200" s="58"/>
      <c r="U200" s="45" t="s">
        <v>67</v>
      </c>
      <c r="V200" s="45"/>
      <c r="W200" s="63" t="s">
        <v>1390</v>
      </c>
      <c r="X200" s="49" t="s">
        <v>1391</v>
      </c>
      <c r="Y200" s="49"/>
      <c r="Z200" s="40" t="s">
        <v>1184</v>
      </c>
      <c r="AA200" s="45" t="s">
        <v>74</v>
      </c>
      <c r="AB200" s="45" t="s">
        <v>67</v>
      </c>
      <c r="AC200" s="45" t="s">
        <v>475</v>
      </c>
      <c r="AD200" s="51" t="s">
        <v>76</v>
      </c>
      <c r="AE200" s="54"/>
      <c r="AF200" s="45" t="s">
        <v>67</v>
      </c>
      <c r="AG200" s="45"/>
      <c r="AH200" s="45">
        <v>0.0</v>
      </c>
      <c r="AI200" s="45"/>
      <c r="AJ200" s="45"/>
      <c r="AK200" s="45"/>
      <c r="AL200" s="45"/>
      <c r="AM200" s="45"/>
      <c r="AN200" s="45">
        <v>0.0</v>
      </c>
      <c r="AO200" s="55"/>
      <c r="AP200" s="54"/>
      <c r="AQ200" s="54"/>
      <c r="AR200" s="54"/>
      <c r="AS200" s="54"/>
      <c r="AT200" s="54"/>
    </row>
    <row r="201">
      <c r="A201" s="35" t="s">
        <v>1392</v>
      </c>
      <c r="B201" s="36" t="s">
        <v>1332</v>
      </c>
      <c r="C201" s="36" t="s">
        <v>1348</v>
      </c>
      <c r="D201" s="61" t="s">
        <v>1393</v>
      </c>
      <c r="E201" s="62" t="s">
        <v>1225</v>
      </c>
      <c r="F201" s="38"/>
      <c r="G201" s="61"/>
      <c r="H201" s="40"/>
      <c r="I201" s="40"/>
      <c r="J201" s="40" t="s">
        <v>1226</v>
      </c>
      <c r="K201" s="41" t="s">
        <v>1394</v>
      </c>
      <c r="L201" s="42" t="s">
        <v>74</v>
      </c>
      <c r="M201" s="53" t="s">
        <v>1336</v>
      </c>
      <c r="N201" s="43" t="s">
        <v>1337</v>
      </c>
      <c r="O201" s="59" t="s">
        <v>1338</v>
      </c>
      <c r="P201" s="45" t="s">
        <v>67</v>
      </c>
      <c r="Q201" s="45" t="s">
        <v>74</v>
      </c>
      <c r="R201" s="46">
        <v>2.0</v>
      </c>
      <c r="S201" s="45" t="s">
        <v>74</v>
      </c>
      <c r="T201" s="58" t="s">
        <v>1395</v>
      </c>
      <c r="U201" s="45"/>
      <c r="V201" s="45"/>
      <c r="W201" s="103"/>
      <c r="X201" s="49" t="s">
        <v>205</v>
      </c>
      <c r="Y201" s="49"/>
      <c r="Z201" s="159" t="s">
        <v>1396</v>
      </c>
      <c r="AA201" s="45" t="s">
        <v>74</v>
      </c>
      <c r="AB201" s="45" t="s">
        <v>67</v>
      </c>
      <c r="AC201" s="45"/>
      <c r="AD201" s="51" t="s">
        <v>76</v>
      </c>
      <c r="AE201" s="54"/>
      <c r="AF201" s="45"/>
      <c r="AG201" s="45"/>
      <c r="AH201" s="45">
        <v>0.0</v>
      </c>
      <c r="AI201" s="45"/>
      <c r="AJ201" s="45"/>
      <c r="AK201" s="45"/>
      <c r="AL201" s="45"/>
      <c r="AM201" s="45"/>
      <c r="AN201" s="45">
        <v>0.0</v>
      </c>
      <c r="AO201" s="55"/>
      <c r="AP201" s="54"/>
      <c r="AQ201" s="54"/>
      <c r="AR201" s="54"/>
      <c r="AS201" s="54"/>
      <c r="AT201" s="54"/>
    </row>
    <row r="202">
      <c r="A202" s="35" t="s">
        <v>1392</v>
      </c>
      <c r="B202" s="36" t="s">
        <v>1332</v>
      </c>
      <c r="C202" s="36" t="s">
        <v>1348</v>
      </c>
      <c r="D202" s="36" t="s">
        <v>1393</v>
      </c>
      <c r="E202" s="62" t="s">
        <v>1397</v>
      </c>
      <c r="F202" s="38" t="s">
        <v>1398</v>
      </c>
      <c r="G202" s="61">
        <v>9.62760472E8</v>
      </c>
      <c r="H202" s="40">
        <v>2792.0</v>
      </c>
      <c r="I202" s="40">
        <v>1157.0</v>
      </c>
      <c r="J202" s="40" t="s">
        <v>65</v>
      </c>
      <c r="K202" s="42" t="s">
        <v>1399</v>
      </c>
      <c r="L202" s="42" t="s">
        <v>67</v>
      </c>
      <c r="M202" s="53" t="s">
        <v>1336</v>
      </c>
      <c r="N202" s="43" t="s">
        <v>1337</v>
      </c>
      <c r="O202" s="59" t="s">
        <v>1338</v>
      </c>
      <c r="P202" s="45" t="s">
        <v>67</v>
      </c>
      <c r="Q202" s="45" t="s">
        <v>67</v>
      </c>
      <c r="R202" s="46">
        <v>2.0</v>
      </c>
      <c r="S202" s="45" t="s">
        <v>67</v>
      </c>
      <c r="T202" s="64"/>
      <c r="U202" s="45" t="s">
        <v>67</v>
      </c>
      <c r="V202" s="45"/>
      <c r="W202" s="68">
        <v>46133.0</v>
      </c>
      <c r="X202" s="49" t="s">
        <v>205</v>
      </c>
      <c r="Y202" s="49" t="s">
        <v>1400</v>
      </c>
      <c r="Z202" s="40" t="s">
        <v>1396</v>
      </c>
      <c r="AA202" s="45" t="s">
        <v>74</v>
      </c>
      <c r="AB202" s="45" t="s">
        <v>67</v>
      </c>
      <c r="AC202" s="45" t="s">
        <v>135</v>
      </c>
      <c r="AD202" s="51" t="s">
        <v>76</v>
      </c>
      <c r="AE202" s="54"/>
      <c r="AF202" s="45" t="s">
        <v>67</v>
      </c>
      <c r="AG202" s="45"/>
      <c r="AH202" s="45">
        <v>10.0</v>
      </c>
      <c r="AI202" s="45"/>
      <c r="AJ202" s="45"/>
      <c r="AK202" s="45"/>
      <c r="AL202" s="45"/>
      <c r="AM202" s="45"/>
      <c r="AN202" s="45">
        <v>0.0</v>
      </c>
      <c r="AO202" s="55"/>
      <c r="AP202" s="54"/>
      <c r="AQ202" s="54"/>
      <c r="AR202" s="54"/>
      <c r="AS202" s="54"/>
      <c r="AT202" s="54"/>
    </row>
    <row r="203">
      <c r="A203" s="35" t="s">
        <v>1401</v>
      </c>
      <c r="B203" s="36" t="s">
        <v>1332</v>
      </c>
      <c r="C203" s="36" t="s">
        <v>1332</v>
      </c>
      <c r="D203" s="36" t="s">
        <v>1402</v>
      </c>
      <c r="E203" s="62" t="s">
        <v>1403</v>
      </c>
      <c r="F203" s="38" t="s">
        <v>1404</v>
      </c>
      <c r="G203" s="61">
        <v>9.20695447E8</v>
      </c>
      <c r="H203" s="40">
        <v>2945.0</v>
      </c>
      <c r="I203" s="40">
        <v>1008.0</v>
      </c>
      <c r="J203" s="40" t="s">
        <v>65</v>
      </c>
      <c r="K203" s="41" t="s">
        <v>1405</v>
      </c>
      <c r="L203" s="42" t="s">
        <v>67</v>
      </c>
      <c r="M203" s="41" t="s">
        <v>1336</v>
      </c>
      <c r="N203" s="43" t="s">
        <v>1337</v>
      </c>
      <c r="O203" s="59" t="s">
        <v>1338</v>
      </c>
      <c r="P203" s="45"/>
      <c r="Q203" s="45" t="s">
        <v>67</v>
      </c>
      <c r="R203" s="46">
        <v>1.0</v>
      </c>
      <c r="S203" s="45" t="s">
        <v>67</v>
      </c>
      <c r="T203" s="64"/>
      <c r="U203" s="45" t="s">
        <v>67</v>
      </c>
      <c r="V203" s="45"/>
      <c r="W203" s="103"/>
      <c r="X203" s="49" t="s">
        <v>205</v>
      </c>
      <c r="Y203" s="49" t="s">
        <v>1205</v>
      </c>
      <c r="Z203" s="40" t="s">
        <v>1396</v>
      </c>
      <c r="AA203" s="45" t="s">
        <v>74</v>
      </c>
      <c r="AB203" s="45" t="s">
        <v>67</v>
      </c>
      <c r="AC203" s="45" t="s">
        <v>86</v>
      </c>
      <c r="AD203" s="51" t="s">
        <v>76</v>
      </c>
      <c r="AE203" s="54"/>
      <c r="AF203" s="45" t="s">
        <v>67</v>
      </c>
      <c r="AG203" s="45"/>
      <c r="AH203" s="45">
        <v>12.0</v>
      </c>
      <c r="AI203" s="45"/>
      <c r="AJ203" s="45"/>
      <c r="AK203" s="45"/>
      <c r="AL203" s="45"/>
      <c r="AM203" s="45"/>
      <c r="AN203" s="45">
        <v>0.0</v>
      </c>
      <c r="AO203" s="55"/>
      <c r="AP203" s="54"/>
      <c r="AQ203" s="54"/>
      <c r="AR203" s="54"/>
      <c r="AS203" s="54"/>
      <c r="AT203" s="54"/>
    </row>
    <row r="204">
      <c r="A204" s="35" t="s">
        <v>1406</v>
      </c>
      <c r="B204" s="36" t="s">
        <v>1332</v>
      </c>
      <c r="C204" s="36" t="s">
        <v>1332</v>
      </c>
      <c r="D204" s="36" t="s">
        <v>1407</v>
      </c>
      <c r="E204" s="62" t="s">
        <v>1408</v>
      </c>
      <c r="F204" s="38" t="s">
        <v>1409</v>
      </c>
      <c r="G204" s="61">
        <v>9.67695712E8</v>
      </c>
      <c r="H204" s="40">
        <v>2810.0</v>
      </c>
      <c r="I204" s="40">
        <v>1009.0</v>
      </c>
      <c r="J204" s="40" t="s">
        <v>65</v>
      </c>
      <c r="K204" s="42" t="s">
        <v>1410</v>
      </c>
      <c r="L204" s="42" t="s">
        <v>67</v>
      </c>
      <c r="M204" s="41" t="s">
        <v>1336</v>
      </c>
      <c r="N204" s="43" t="s">
        <v>1337</v>
      </c>
      <c r="O204" s="59" t="s">
        <v>1338</v>
      </c>
      <c r="P204" s="45"/>
      <c r="Q204" s="45" t="s">
        <v>67</v>
      </c>
      <c r="R204" s="46">
        <v>1.0</v>
      </c>
      <c r="S204" s="45" t="s">
        <v>67</v>
      </c>
      <c r="T204" s="64"/>
      <c r="U204" s="45" t="s">
        <v>67</v>
      </c>
      <c r="V204" s="45"/>
      <c r="W204" s="68">
        <v>46133.0</v>
      </c>
      <c r="X204" s="49" t="s">
        <v>205</v>
      </c>
      <c r="Y204" s="49" t="s">
        <v>1240</v>
      </c>
      <c r="Z204" s="40" t="s">
        <v>1396</v>
      </c>
      <c r="AA204" s="45" t="s">
        <v>74</v>
      </c>
      <c r="AB204" s="45" t="s">
        <v>67</v>
      </c>
      <c r="AC204" s="45" t="s">
        <v>306</v>
      </c>
      <c r="AD204" s="51" t="s">
        <v>76</v>
      </c>
      <c r="AE204" s="54"/>
      <c r="AF204" s="45" t="s">
        <v>67</v>
      </c>
      <c r="AG204" s="45"/>
      <c r="AH204" s="45">
        <v>10.0</v>
      </c>
      <c r="AI204" s="45"/>
      <c r="AJ204" s="45"/>
      <c r="AK204" s="45"/>
      <c r="AL204" s="45"/>
      <c r="AM204" s="45"/>
      <c r="AN204" s="45">
        <v>2.0</v>
      </c>
      <c r="AO204" s="55"/>
      <c r="AP204" s="54"/>
      <c r="AQ204" s="54"/>
      <c r="AR204" s="54"/>
      <c r="AS204" s="54"/>
      <c r="AT204" s="54"/>
    </row>
    <row r="205">
      <c r="A205" s="35" t="s">
        <v>1411</v>
      </c>
      <c r="B205" s="36" t="s">
        <v>1332</v>
      </c>
      <c r="C205" s="36" t="s">
        <v>1362</v>
      </c>
      <c r="D205" s="36" t="s">
        <v>1412</v>
      </c>
      <c r="E205" s="62" t="s">
        <v>1413</v>
      </c>
      <c r="F205" s="38" t="s">
        <v>1414</v>
      </c>
      <c r="G205" s="61">
        <v>9.24660113E8</v>
      </c>
      <c r="H205" s="40">
        <v>2813.0</v>
      </c>
      <c r="I205" s="40">
        <v>1013.0</v>
      </c>
      <c r="J205" s="40" t="s">
        <v>65</v>
      </c>
      <c r="K205" s="41" t="s">
        <v>1415</v>
      </c>
      <c r="L205" s="42" t="s">
        <v>74</v>
      </c>
      <c r="M205" s="41" t="s">
        <v>1336</v>
      </c>
      <c r="N205" s="43" t="s">
        <v>1337</v>
      </c>
      <c r="O205" s="59" t="s">
        <v>1338</v>
      </c>
      <c r="P205" s="45"/>
      <c r="Q205" s="45" t="s">
        <v>67</v>
      </c>
      <c r="R205" s="46">
        <v>2.0</v>
      </c>
      <c r="S205" s="45" t="s">
        <v>67</v>
      </c>
      <c r="T205" s="64"/>
      <c r="U205" s="45" t="s">
        <v>67</v>
      </c>
      <c r="V205" s="45"/>
      <c r="W205" s="68">
        <v>46133.0</v>
      </c>
      <c r="X205" s="49" t="s">
        <v>205</v>
      </c>
      <c r="Y205" s="49" t="s">
        <v>1416</v>
      </c>
      <c r="Z205" s="40" t="s">
        <v>1396</v>
      </c>
      <c r="AA205" s="45" t="s">
        <v>74</v>
      </c>
      <c r="AB205" s="45" t="s">
        <v>67</v>
      </c>
      <c r="AC205" s="45" t="s">
        <v>86</v>
      </c>
      <c r="AD205" s="51" t="s">
        <v>76</v>
      </c>
      <c r="AE205" s="54"/>
      <c r="AF205" s="45" t="s">
        <v>67</v>
      </c>
      <c r="AG205" s="45"/>
      <c r="AH205" s="45">
        <v>20.0</v>
      </c>
      <c r="AI205" s="45"/>
      <c r="AJ205" s="45"/>
      <c r="AK205" s="45"/>
      <c r="AL205" s="45"/>
      <c r="AM205" s="45"/>
      <c r="AN205" s="45">
        <v>0.0</v>
      </c>
      <c r="AO205" s="55"/>
      <c r="AP205" s="54"/>
      <c r="AQ205" s="54"/>
      <c r="AR205" s="54"/>
      <c r="AS205" s="54"/>
      <c r="AT205" s="54"/>
    </row>
    <row r="206">
      <c r="A206" s="35" t="s">
        <v>1417</v>
      </c>
      <c r="B206" s="36" t="s">
        <v>1332</v>
      </c>
      <c r="C206" s="36" t="s">
        <v>1348</v>
      </c>
      <c r="D206" s="36" t="s">
        <v>1418</v>
      </c>
      <c r="E206" s="62" t="s">
        <v>1419</v>
      </c>
      <c r="F206" s="38" t="s">
        <v>1420</v>
      </c>
      <c r="G206" s="61">
        <v>9.27610327E8</v>
      </c>
      <c r="H206" s="40">
        <v>2657.0</v>
      </c>
      <c r="I206" s="40">
        <v>1148.0</v>
      </c>
      <c r="J206" s="40" t="s">
        <v>65</v>
      </c>
      <c r="K206" s="41" t="s">
        <v>1421</v>
      </c>
      <c r="L206" s="42" t="s">
        <v>74</v>
      </c>
      <c r="M206" s="53" t="s">
        <v>1336</v>
      </c>
      <c r="N206" s="43" t="s">
        <v>1337</v>
      </c>
      <c r="O206" s="44" t="s">
        <v>1422</v>
      </c>
      <c r="P206" s="45" t="s">
        <v>67</v>
      </c>
      <c r="Q206" s="45" t="s">
        <v>67</v>
      </c>
      <c r="R206" s="46">
        <v>2.0</v>
      </c>
      <c r="S206" s="45" t="s">
        <v>67</v>
      </c>
      <c r="T206" s="64"/>
      <c r="U206" s="45" t="s">
        <v>67</v>
      </c>
      <c r="V206" s="45"/>
      <c r="W206" s="68">
        <v>46133.0</v>
      </c>
      <c r="X206" s="49" t="s">
        <v>205</v>
      </c>
      <c r="Y206" s="49" t="s">
        <v>1260</v>
      </c>
      <c r="Z206" s="40" t="s">
        <v>1396</v>
      </c>
      <c r="AA206" s="45" t="s">
        <v>74</v>
      </c>
      <c r="AB206" s="45" t="s">
        <v>67</v>
      </c>
      <c r="AC206" s="45" t="s">
        <v>475</v>
      </c>
      <c r="AD206" s="51" t="s">
        <v>76</v>
      </c>
      <c r="AE206" s="54"/>
      <c r="AF206" s="45" t="s">
        <v>67</v>
      </c>
      <c r="AG206" s="45"/>
      <c r="AH206" s="45">
        <v>20.0</v>
      </c>
      <c r="AI206" s="45"/>
      <c r="AJ206" s="45"/>
      <c r="AK206" s="45"/>
      <c r="AL206" s="45"/>
      <c r="AM206" s="45"/>
      <c r="AN206" s="45">
        <v>0.0</v>
      </c>
      <c r="AO206" s="55"/>
      <c r="AP206" s="54"/>
      <c r="AQ206" s="54"/>
      <c r="AR206" s="54"/>
      <c r="AS206" s="54"/>
      <c r="AT206" s="54"/>
    </row>
    <row r="207">
      <c r="A207" s="35" t="s">
        <v>1423</v>
      </c>
      <c r="B207" s="36" t="s">
        <v>1332</v>
      </c>
      <c r="C207" s="36" t="s">
        <v>1348</v>
      </c>
      <c r="D207" s="36" t="s">
        <v>1424</v>
      </c>
      <c r="E207" s="62" t="s">
        <v>1425</v>
      </c>
      <c r="F207" s="38" t="s">
        <v>1426</v>
      </c>
      <c r="G207" s="61">
        <v>9.46849502E8</v>
      </c>
      <c r="H207" s="40">
        <v>2658.0</v>
      </c>
      <c r="I207" s="40">
        <v>1149.0</v>
      </c>
      <c r="J207" s="40" t="s">
        <v>65</v>
      </c>
      <c r="K207" s="42" t="s">
        <v>1427</v>
      </c>
      <c r="L207" s="42" t="s">
        <v>74</v>
      </c>
      <c r="M207" s="53" t="s">
        <v>1336</v>
      </c>
      <c r="N207" s="43" t="s">
        <v>1337</v>
      </c>
      <c r="O207" s="44" t="s">
        <v>1422</v>
      </c>
      <c r="P207" s="45" t="s">
        <v>67</v>
      </c>
      <c r="Q207" s="45" t="s">
        <v>67</v>
      </c>
      <c r="R207" s="46">
        <v>1.0</v>
      </c>
      <c r="S207" s="45" t="s">
        <v>67</v>
      </c>
      <c r="T207" s="64"/>
      <c r="U207" s="45" t="s">
        <v>67</v>
      </c>
      <c r="V207" s="45"/>
      <c r="W207" s="103"/>
      <c r="X207" s="49" t="s">
        <v>205</v>
      </c>
      <c r="Y207" s="49" t="s">
        <v>1205</v>
      </c>
      <c r="Z207" s="40" t="s">
        <v>1396</v>
      </c>
      <c r="AA207" s="45" t="s">
        <v>74</v>
      </c>
      <c r="AB207" s="45" t="s">
        <v>67</v>
      </c>
      <c r="AC207" s="45" t="s">
        <v>195</v>
      </c>
      <c r="AD207" s="51" t="s">
        <v>76</v>
      </c>
      <c r="AE207" s="54"/>
      <c r="AF207" s="45" t="s">
        <v>67</v>
      </c>
      <c r="AG207" s="45"/>
      <c r="AH207" s="45">
        <v>11.0</v>
      </c>
      <c r="AI207" s="45"/>
      <c r="AJ207" s="45"/>
      <c r="AK207" s="45"/>
      <c r="AL207" s="45"/>
      <c r="AM207" s="45"/>
      <c r="AN207" s="45">
        <v>0.0</v>
      </c>
      <c r="AO207" s="55"/>
      <c r="AP207" s="54"/>
      <c r="AQ207" s="54"/>
      <c r="AR207" s="54"/>
      <c r="AS207" s="54"/>
      <c r="AT207" s="54"/>
    </row>
    <row r="208">
      <c r="A208" s="35" t="s">
        <v>1428</v>
      </c>
      <c r="B208" s="36" t="s">
        <v>1332</v>
      </c>
      <c r="C208" s="36" t="s">
        <v>1348</v>
      </c>
      <c r="D208" s="36" t="s">
        <v>1429</v>
      </c>
      <c r="E208" s="62" t="s">
        <v>1430</v>
      </c>
      <c r="F208" s="38" t="s">
        <v>1431</v>
      </c>
      <c r="G208" s="61">
        <v>9.49181679E8</v>
      </c>
      <c r="H208" s="40">
        <v>2659.0</v>
      </c>
      <c r="I208" s="40">
        <v>1150.0</v>
      </c>
      <c r="J208" s="40" t="s">
        <v>65</v>
      </c>
      <c r="K208" s="41" t="s">
        <v>1432</v>
      </c>
      <c r="L208" s="42" t="s">
        <v>67</v>
      </c>
      <c r="M208" s="53" t="s">
        <v>1336</v>
      </c>
      <c r="N208" s="43" t="s">
        <v>1337</v>
      </c>
      <c r="O208" s="44" t="s">
        <v>1422</v>
      </c>
      <c r="P208" s="45" t="s">
        <v>67</v>
      </c>
      <c r="Q208" s="45" t="s">
        <v>67</v>
      </c>
      <c r="R208" s="46">
        <v>2.0</v>
      </c>
      <c r="S208" s="45" t="s">
        <v>67</v>
      </c>
      <c r="T208" s="64"/>
      <c r="U208" s="45" t="s">
        <v>67</v>
      </c>
      <c r="V208" s="45"/>
      <c r="W208" s="103"/>
      <c r="X208" s="49" t="s">
        <v>205</v>
      </c>
      <c r="Y208" s="49" t="s">
        <v>601</v>
      </c>
      <c r="Z208" s="40" t="s">
        <v>1396</v>
      </c>
      <c r="AA208" s="45" t="s">
        <v>74</v>
      </c>
      <c r="AB208" s="45" t="s">
        <v>67</v>
      </c>
      <c r="AC208" s="45" t="s">
        <v>86</v>
      </c>
      <c r="AD208" s="51" t="s">
        <v>76</v>
      </c>
      <c r="AE208" s="54"/>
      <c r="AF208" s="45" t="s">
        <v>67</v>
      </c>
      <c r="AG208" s="45"/>
      <c r="AH208" s="45">
        <v>0.0</v>
      </c>
      <c r="AI208" s="45"/>
      <c r="AJ208" s="45"/>
      <c r="AK208" s="45"/>
      <c r="AL208" s="45"/>
      <c r="AM208" s="45"/>
      <c r="AN208" s="45">
        <v>0.0</v>
      </c>
      <c r="AO208" s="55"/>
      <c r="AP208" s="54"/>
      <c r="AQ208" s="54"/>
      <c r="AR208" s="54"/>
      <c r="AS208" s="54"/>
      <c r="AT208" s="54"/>
    </row>
    <row r="209">
      <c r="A209" s="35" t="s">
        <v>1433</v>
      </c>
      <c r="B209" s="36" t="s">
        <v>1332</v>
      </c>
      <c r="C209" s="36" t="s">
        <v>1348</v>
      </c>
      <c r="D209" s="36" t="s">
        <v>1434</v>
      </c>
      <c r="E209" s="62" t="s">
        <v>1435</v>
      </c>
      <c r="F209" s="38" t="s">
        <v>1436</v>
      </c>
      <c r="G209" s="61">
        <v>9.36906226E8</v>
      </c>
      <c r="H209" s="40">
        <v>2660.0</v>
      </c>
      <c r="I209" s="40">
        <v>1151.0</v>
      </c>
      <c r="J209" s="40" t="s">
        <v>65</v>
      </c>
      <c r="K209" s="41" t="s">
        <v>1437</v>
      </c>
      <c r="L209" s="42" t="s">
        <v>74</v>
      </c>
      <c r="M209" s="53" t="s">
        <v>1336</v>
      </c>
      <c r="N209" s="43" t="s">
        <v>1337</v>
      </c>
      <c r="O209" s="44" t="s">
        <v>1422</v>
      </c>
      <c r="P209" s="45" t="s">
        <v>67</v>
      </c>
      <c r="Q209" s="45" t="s">
        <v>67</v>
      </c>
      <c r="R209" s="46">
        <v>1.0</v>
      </c>
      <c r="S209" s="45" t="s">
        <v>67</v>
      </c>
      <c r="T209" s="64"/>
      <c r="U209" s="45" t="s">
        <v>67</v>
      </c>
      <c r="V209" s="45"/>
      <c r="W209" s="103"/>
      <c r="X209" s="49" t="s">
        <v>205</v>
      </c>
      <c r="Y209" s="49" t="s">
        <v>1438</v>
      </c>
      <c r="Z209" s="40" t="s">
        <v>1396</v>
      </c>
      <c r="AA209" s="45" t="s">
        <v>74</v>
      </c>
      <c r="AB209" s="45" t="s">
        <v>67</v>
      </c>
      <c r="AC209" s="45" t="s">
        <v>195</v>
      </c>
      <c r="AD209" s="51" t="s">
        <v>76</v>
      </c>
      <c r="AE209" s="54"/>
      <c r="AF209" s="45" t="s">
        <v>67</v>
      </c>
      <c r="AG209" s="45"/>
      <c r="AH209" s="45">
        <v>20.0</v>
      </c>
      <c r="AI209" s="45"/>
      <c r="AJ209" s="45"/>
      <c r="AK209" s="45"/>
      <c r="AL209" s="45"/>
      <c r="AM209" s="45"/>
      <c r="AN209" s="45">
        <v>0.0</v>
      </c>
      <c r="AO209" s="55"/>
      <c r="AP209" s="54"/>
      <c r="AQ209" s="54"/>
      <c r="AR209" s="54"/>
      <c r="AS209" s="54"/>
      <c r="AT209" s="54"/>
    </row>
    <row r="210">
      <c r="A210" s="35" t="s">
        <v>1439</v>
      </c>
      <c r="B210" s="36" t="s">
        <v>1332</v>
      </c>
      <c r="C210" s="36" t="s">
        <v>1333</v>
      </c>
      <c r="D210" s="36" t="s">
        <v>1440</v>
      </c>
      <c r="E210" s="62" t="s">
        <v>1441</v>
      </c>
      <c r="F210" s="38" t="s">
        <v>1442</v>
      </c>
      <c r="G210" s="61" t="s">
        <v>1443</v>
      </c>
      <c r="H210" s="40">
        <v>2795.0</v>
      </c>
      <c r="I210" s="40">
        <v>1160.0</v>
      </c>
      <c r="J210" s="40" t="s">
        <v>65</v>
      </c>
      <c r="K210" s="42" t="s">
        <v>1444</v>
      </c>
      <c r="L210" s="42" t="s">
        <v>74</v>
      </c>
      <c r="M210" s="41" t="s">
        <v>1336</v>
      </c>
      <c r="N210" s="43" t="s">
        <v>1337</v>
      </c>
      <c r="O210" s="44" t="s">
        <v>1422</v>
      </c>
      <c r="P210" s="45"/>
      <c r="Q210" s="45" t="s">
        <v>67</v>
      </c>
      <c r="R210" s="46">
        <v>2.0</v>
      </c>
      <c r="S210" s="45" t="s">
        <v>67</v>
      </c>
      <c r="T210" s="64"/>
      <c r="U210" s="45" t="s">
        <v>67</v>
      </c>
      <c r="V210" s="45"/>
      <c r="W210" s="68">
        <v>46133.0</v>
      </c>
      <c r="X210" s="49" t="s">
        <v>205</v>
      </c>
      <c r="Y210" s="49" t="s">
        <v>893</v>
      </c>
      <c r="Z210" s="40" t="s">
        <v>1396</v>
      </c>
      <c r="AA210" s="45" t="s">
        <v>74</v>
      </c>
      <c r="AB210" s="45" t="s">
        <v>67</v>
      </c>
      <c r="AC210" s="45" t="s">
        <v>86</v>
      </c>
      <c r="AD210" s="51" t="s">
        <v>76</v>
      </c>
      <c r="AE210" s="54"/>
      <c r="AF210" s="45" t="s">
        <v>67</v>
      </c>
      <c r="AG210" s="45"/>
      <c r="AH210" s="45">
        <v>2.0</v>
      </c>
      <c r="AI210" s="45"/>
      <c r="AJ210" s="45"/>
      <c r="AK210" s="45"/>
      <c r="AL210" s="45"/>
      <c r="AM210" s="45"/>
      <c r="AN210" s="45">
        <v>0.0</v>
      </c>
      <c r="AO210" s="55"/>
      <c r="AP210" s="54"/>
      <c r="AQ210" s="54"/>
      <c r="AR210" s="54"/>
      <c r="AS210" s="54"/>
      <c r="AT210" s="54"/>
    </row>
    <row r="211">
      <c r="A211" s="35" t="s">
        <v>1445</v>
      </c>
      <c r="B211" s="36" t="s">
        <v>1332</v>
      </c>
      <c r="C211" s="36" t="s">
        <v>1333</v>
      </c>
      <c r="D211" s="36" t="s">
        <v>1446</v>
      </c>
      <c r="E211" s="62" t="s">
        <v>1447</v>
      </c>
      <c r="F211" s="38" t="s">
        <v>1448</v>
      </c>
      <c r="G211" s="61">
        <v>9.10103045E8</v>
      </c>
      <c r="H211" s="40">
        <v>2654.0</v>
      </c>
      <c r="I211" s="40">
        <v>1145.0</v>
      </c>
      <c r="J211" s="40" t="s">
        <v>65</v>
      </c>
      <c r="K211" s="41" t="s">
        <v>1449</v>
      </c>
      <c r="L211" s="42" t="s">
        <v>67</v>
      </c>
      <c r="M211" s="41" t="s">
        <v>1336</v>
      </c>
      <c r="N211" s="43" t="s">
        <v>1337</v>
      </c>
      <c r="O211" s="44" t="s">
        <v>1422</v>
      </c>
      <c r="P211" s="45"/>
      <c r="Q211" s="45" t="s">
        <v>67</v>
      </c>
      <c r="R211" s="46">
        <v>1.0</v>
      </c>
      <c r="S211" s="45" t="s">
        <v>67</v>
      </c>
      <c r="T211" s="64"/>
      <c r="U211" s="45" t="s">
        <v>67</v>
      </c>
      <c r="V211" s="45"/>
      <c r="W211" s="103"/>
      <c r="X211" s="49" t="s">
        <v>205</v>
      </c>
      <c r="Y211" s="49" t="s">
        <v>893</v>
      </c>
      <c r="Z211" s="40" t="s">
        <v>1396</v>
      </c>
      <c r="AA211" s="45" t="s">
        <v>74</v>
      </c>
      <c r="AB211" s="45" t="s">
        <v>67</v>
      </c>
      <c r="AC211" s="45" t="s">
        <v>86</v>
      </c>
      <c r="AD211" s="51" t="s">
        <v>76</v>
      </c>
      <c r="AE211" s="54"/>
      <c r="AF211" s="45" t="s">
        <v>67</v>
      </c>
      <c r="AG211" s="45"/>
      <c r="AH211" s="45">
        <v>0.0</v>
      </c>
      <c r="AI211" s="45"/>
      <c r="AJ211" s="45"/>
      <c r="AK211" s="45"/>
      <c r="AL211" s="45"/>
      <c r="AM211" s="45"/>
      <c r="AN211" s="45">
        <v>0.0</v>
      </c>
      <c r="AO211" s="55"/>
      <c r="AP211" s="54"/>
      <c r="AQ211" s="54"/>
      <c r="AR211" s="54"/>
      <c r="AS211" s="54"/>
      <c r="AT211" s="54"/>
    </row>
    <row r="212">
      <c r="A212" s="35" t="s">
        <v>1445</v>
      </c>
      <c r="B212" s="36" t="s">
        <v>1332</v>
      </c>
      <c r="C212" s="36" t="s">
        <v>1333</v>
      </c>
      <c r="D212" s="36" t="s">
        <v>1446</v>
      </c>
      <c r="E212" s="62" t="s">
        <v>1450</v>
      </c>
      <c r="F212" s="38" t="s">
        <v>1451</v>
      </c>
      <c r="G212" s="61">
        <v>9.00682397E8</v>
      </c>
      <c r="H212" s="40"/>
      <c r="I212" s="40">
        <v>1011.0</v>
      </c>
      <c r="J212" s="40" t="s">
        <v>65</v>
      </c>
      <c r="K212" s="42" t="s">
        <v>1452</v>
      </c>
      <c r="L212" s="42" t="s">
        <v>74</v>
      </c>
      <c r="M212" s="41" t="s">
        <v>1336</v>
      </c>
      <c r="N212" s="43" t="s">
        <v>1337</v>
      </c>
      <c r="O212" s="44" t="s">
        <v>1422</v>
      </c>
      <c r="P212" s="45"/>
      <c r="Q212" s="45" t="s">
        <v>67</v>
      </c>
      <c r="R212" s="46">
        <v>1.0</v>
      </c>
      <c r="S212" s="45" t="s">
        <v>67</v>
      </c>
      <c r="T212" s="64"/>
      <c r="U212" s="45" t="s">
        <v>67</v>
      </c>
      <c r="V212" s="45"/>
      <c r="W212" s="103"/>
      <c r="X212" s="49" t="s">
        <v>205</v>
      </c>
      <c r="Y212" s="49" t="s">
        <v>893</v>
      </c>
      <c r="Z212" s="40" t="s">
        <v>1396</v>
      </c>
      <c r="AA212" s="45" t="s">
        <v>74</v>
      </c>
      <c r="AB212" s="45" t="s">
        <v>67</v>
      </c>
      <c r="AC212" s="45" t="s">
        <v>195</v>
      </c>
      <c r="AD212" s="51" t="s">
        <v>76</v>
      </c>
      <c r="AE212" s="54"/>
      <c r="AF212" s="45" t="s">
        <v>67</v>
      </c>
      <c r="AG212" s="45"/>
      <c r="AH212" s="45">
        <v>4.0</v>
      </c>
      <c r="AI212" s="45"/>
      <c r="AJ212" s="45"/>
      <c r="AK212" s="45"/>
      <c r="AL212" s="45"/>
      <c r="AM212" s="45"/>
      <c r="AN212" s="45">
        <v>0.0</v>
      </c>
      <c r="AO212" s="55"/>
      <c r="AP212" s="54"/>
      <c r="AQ212" s="54"/>
      <c r="AR212" s="54"/>
      <c r="AS212" s="54"/>
      <c r="AT212" s="54"/>
    </row>
    <row r="213">
      <c r="A213" s="35" t="s">
        <v>1453</v>
      </c>
      <c r="B213" s="36" t="s">
        <v>1332</v>
      </c>
      <c r="C213" s="36" t="s">
        <v>1348</v>
      </c>
      <c r="D213" s="36" t="s">
        <v>1454</v>
      </c>
      <c r="E213" s="62" t="s">
        <v>1455</v>
      </c>
      <c r="F213" s="38" t="s">
        <v>1456</v>
      </c>
      <c r="G213" s="61">
        <v>9.21290667E8</v>
      </c>
      <c r="H213" s="40">
        <v>2661.0</v>
      </c>
      <c r="I213" s="40">
        <v>1152.0</v>
      </c>
      <c r="J213" s="40" t="s">
        <v>65</v>
      </c>
      <c r="K213" s="41" t="s">
        <v>1457</v>
      </c>
      <c r="L213" s="42" t="s">
        <v>74</v>
      </c>
      <c r="M213" s="41" t="s">
        <v>1336</v>
      </c>
      <c r="N213" s="43" t="s">
        <v>1337</v>
      </c>
      <c r="O213" s="44" t="s">
        <v>1422</v>
      </c>
      <c r="P213" s="45"/>
      <c r="Q213" s="45" t="s">
        <v>67</v>
      </c>
      <c r="R213" s="46">
        <v>1.0</v>
      </c>
      <c r="S213" s="45" t="s">
        <v>67</v>
      </c>
      <c r="T213" s="64"/>
      <c r="U213" s="45" t="s">
        <v>67</v>
      </c>
      <c r="V213" s="45"/>
      <c r="W213" s="103"/>
      <c r="X213" s="49" t="s">
        <v>205</v>
      </c>
      <c r="Y213" s="49" t="s">
        <v>1240</v>
      </c>
      <c r="Z213" s="40" t="s">
        <v>1396</v>
      </c>
      <c r="AA213" s="45" t="s">
        <v>67</v>
      </c>
      <c r="AB213" s="45" t="s">
        <v>67</v>
      </c>
      <c r="AC213" s="45" t="s">
        <v>96</v>
      </c>
      <c r="AD213" s="51" t="s">
        <v>76</v>
      </c>
      <c r="AE213" s="54"/>
      <c r="AF213" s="45" t="s">
        <v>67</v>
      </c>
      <c r="AG213" s="45"/>
      <c r="AH213" s="45">
        <v>15.0</v>
      </c>
      <c r="AI213" s="45"/>
      <c r="AJ213" s="45"/>
      <c r="AK213" s="45"/>
      <c r="AL213" s="45"/>
      <c r="AM213" s="45"/>
      <c r="AN213" s="45">
        <v>0.0</v>
      </c>
      <c r="AO213" s="55"/>
      <c r="AP213" s="54"/>
      <c r="AQ213" s="54"/>
      <c r="AR213" s="54"/>
      <c r="AS213" s="54"/>
      <c r="AT213" s="54"/>
    </row>
    <row r="214">
      <c r="A214" s="35" t="s">
        <v>1458</v>
      </c>
      <c r="B214" s="36" t="s">
        <v>1332</v>
      </c>
      <c r="C214" s="36" t="s">
        <v>1348</v>
      </c>
      <c r="D214" s="36" t="s">
        <v>1459</v>
      </c>
      <c r="E214" s="62" t="s">
        <v>1460</v>
      </c>
      <c r="F214" s="38" t="s">
        <v>1461</v>
      </c>
      <c r="G214" s="61">
        <v>9.16772787E8</v>
      </c>
      <c r="H214" s="40">
        <v>2793.0</v>
      </c>
      <c r="I214" s="40">
        <v>1158.0</v>
      </c>
      <c r="J214" s="40" t="s">
        <v>65</v>
      </c>
      <c r="K214" s="41" t="s">
        <v>1462</v>
      </c>
      <c r="L214" s="42" t="s">
        <v>67</v>
      </c>
      <c r="M214" s="41" t="s">
        <v>1336</v>
      </c>
      <c r="N214" s="43" t="s">
        <v>1337</v>
      </c>
      <c r="O214" s="44" t="s">
        <v>1422</v>
      </c>
      <c r="P214" s="45"/>
      <c r="Q214" s="45" t="s">
        <v>67</v>
      </c>
      <c r="R214" s="46">
        <v>2.0</v>
      </c>
      <c r="S214" s="45" t="s">
        <v>67</v>
      </c>
      <c r="T214" s="64"/>
      <c r="U214" s="45" t="s">
        <v>67</v>
      </c>
      <c r="V214" s="45"/>
      <c r="W214" s="68">
        <v>46133.0</v>
      </c>
      <c r="X214" s="49" t="s">
        <v>205</v>
      </c>
      <c r="Y214" s="49" t="s">
        <v>1240</v>
      </c>
      <c r="Z214" s="40" t="s">
        <v>1396</v>
      </c>
      <c r="AA214" s="45" t="s">
        <v>74</v>
      </c>
      <c r="AB214" s="45" t="s">
        <v>74</v>
      </c>
      <c r="AC214" s="45" t="s">
        <v>306</v>
      </c>
      <c r="AD214" s="51" t="s">
        <v>76</v>
      </c>
      <c r="AE214" s="54"/>
      <c r="AF214" s="45" t="s">
        <v>67</v>
      </c>
      <c r="AG214" s="45"/>
      <c r="AH214" s="45">
        <v>6.0</v>
      </c>
      <c r="AI214" s="45"/>
      <c r="AJ214" s="45"/>
      <c r="AK214" s="45"/>
      <c r="AL214" s="45"/>
      <c r="AM214" s="45"/>
      <c r="AN214" s="45">
        <v>0.0</v>
      </c>
      <c r="AO214" s="55"/>
      <c r="AP214" s="54"/>
      <c r="AQ214" s="54"/>
      <c r="AR214" s="54"/>
      <c r="AS214" s="54"/>
      <c r="AT214" s="54"/>
    </row>
    <row r="215">
      <c r="A215" s="35" t="s">
        <v>1463</v>
      </c>
      <c r="B215" s="36" t="s">
        <v>1332</v>
      </c>
      <c r="C215" s="36" t="s">
        <v>1348</v>
      </c>
      <c r="D215" s="36" t="s">
        <v>1464</v>
      </c>
      <c r="E215" s="62" t="s">
        <v>1465</v>
      </c>
      <c r="F215" s="38" t="s">
        <v>1466</v>
      </c>
      <c r="G215" s="61">
        <v>9.85559854E8</v>
      </c>
      <c r="H215" s="40">
        <v>2662.0</v>
      </c>
      <c r="I215" s="40">
        <v>1153.0</v>
      </c>
      <c r="J215" s="40" t="s">
        <v>65</v>
      </c>
      <c r="K215" s="42" t="s">
        <v>1467</v>
      </c>
      <c r="L215" s="42" t="s">
        <v>74</v>
      </c>
      <c r="M215" s="41" t="s">
        <v>1336</v>
      </c>
      <c r="N215" s="43" t="s">
        <v>1337</v>
      </c>
      <c r="O215" s="59" t="s">
        <v>1338</v>
      </c>
      <c r="P215" s="45"/>
      <c r="Q215" s="45" t="s">
        <v>67</v>
      </c>
      <c r="R215" s="46">
        <v>1.0</v>
      </c>
      <c r="S215" s="45" t="s">
        <v>67</v>
      </c>
      <c r="T215" s="64"/>
      <c r="U215" s="45" t="s">
        <v>67</v>
      </c>
      <c r="V215" s="45"/>
      <c r="W215" s="68">
        <v>44307.0</v>
      </c>
      <c r="X215" s="49" t="s">
        <v>205</v>
      </c>
      <c r="Y215" s="49" t="s">
        <v>1240</v>
      </c>
      <c r="Z215" s="40" t="s">
        <v>1396</v>
      </c>
      <c r="AA215" s="45" t="s">
        <v>74</v>
      </c>
      <c r="AB215" s="45" t="s">
        <v>67</v>
      </c>
      <c r="AC215" s="45" t="s">
        <v>195</v>
      </c>
      <c r="AD215" s="51" t="s">
        <v>76</v>
      </c>
      <c r="AE215" s="54"/>
      <c r="AF215" s="45" t="s">
        <v>67</v>
      </c>
      <c r="AG215" s="45"/>
      <c r="AH215" s="45">
        <v>0.0</v>
      </c>
      <c r="AI215" s="45"/>
      <c r="AJ215" s="45"/>
      <c r="AK215" s="45"/>
      <c r="AL215" s="45"/>
      <c r="AM215" s="45"/>
      <c r="AN215" s="45">
        <v>0.0</v>
      </c>
      <c r="AO215" s="55"/>
      <c r="AP215" s="54"/>
      <c r="AQ215" s="54"/>
      <c r="AR215" s="54"/>
      <c r="AS215" s="54"/>
      <c r="AT215" s="54"/>
    </row>
    <row r="216">
      <c r="A216" s="35" t="s">
        <v>1463</v>
      </c>
      <c r="B216" s="36" t="s">
        <v>1332</v>
      </c>
      <c r="C216" s="36" t="s">
        <v>1348</v>
      </c>
      <c r="D216" s="36" t="s">
        <v>1464</v>
      </c>
      <c r="E216" s="62" t="s">
        <v>1468</v>
      </c>
      <c r="F216" s="38" t="s">
        <v>1469</v>
      </c>
      <c r="G216" s="61">
        <v>9.04203634E8</v>
      </c>
      <c r="H216" s="40">
        <v>2789.0</v>
      </c>
      <c r="I216" s="40">
        <v>1154.0</v>
      </c>
      <c r="J216" s="40" t="s">
        <v>65</v>
      </c>
      <c r="K216" s="41" t="s">
        <v>1470</v>
      </c>
      <c r="L216" s="42" t="s">
        <v>67</v>
      </c>
      <c r="M216" s="41" t="s">
        <v>1336</v>
      </c>
      <c r="N216" s="43" t="s">
        <v>1337</v>
      </c>
      <c r="O216" s="44" t="s">
        <v>1422</v>
      </c>
      <c r="P216" s="45"/>
      <c r="Q216" s="45" t="s">
        <v>67</v>
      </c>
      <c r="R216" s="46">
        <v>1.0</v>
      </c>
      <c r="S216" s="45" t="s">
        <v>67</v>
      </c>
      <c r="T216" s="64"/>
      <c r="U216" s="45" t="s">
        <v>67</v>
      </c>
      <c r="V216" s="45"/>
      <c r="W216" s="68">
        <v>46133.0</v>
      </c>
      <c r="X216" s="49" t="s">
        <v>205</v>
      </c>
      <c r="Y216" s="49" t="s">
        <v>378</v>
      </c>
      <c r="Z216" s="40" t="s">
        <v>1396</v>
      </c>
      <c r="AA216" s="45" t="s">
        <v>74</v>
      </c>
      <c r="AB216" s="45" t="s">
        <v>67</v>
      </c>
      <c r="AC216" s="45" t="s">
        <v>195</v>
      </c>
      <c r="AD216" s="51" t="s">
        <v>76</v>
      </c>
      <c r="AE216" s="54"/>
      <c r="AF216" s="45" t="s">
        <v>67</v>
      </c>
      <c r="AG216" s="45"/>
      <c r="AH216" s="45">
        <v>20.0</v>
      </c>
      <c r="AI216" s="45"/>
      <c r="AJ216" s="45"/>
      <c r="AK216" s="45"/>
      <c r="AL216" s="45"/>
      <c r="AM216" s="45"/>
      <c r="AN216" s="45">
        <v>0.0</v>
      </c>
      <c r="AO216" s="55"/>
      <c r="AP216" s="54"/>
      <c r="AQ216" s="54"/>
      <c r="AR216" s="54"/>
      <c r="AS216" s="54"/>
      <c r="AT216" s="54"/>
    </row>
    <row r="217">
      <c r="A217" s="35" t="s">
        <v>1471</v>
      </c>
      <c r="B217" s="36" t="s">
        <v>1332</v>
      </c>
      <c r="C217" s="36" t="s">
        <v>1362</v>
      </c>
      <c r="D217" s="36" t="s">
        <v>1472</v>
      </c>
      <c r="E217" s="62" t="s">
        <v>1473</v>
      </c>
      <c r="F217" s="38" t="s">
        <v>1474</v>
      </c>
      <c r="G217" s="61">
        <v>9.54004598E8</v>
      </c>
      <c r="H217" s="40">
        <v>2812.0</v>
      </c>
      <c r="I217" s="40">
        <v>1012.0</v>
      </c>
      <c r="J217" s="40" t="s">
        <v>65</v>
      </c>
      <c r="K217" s="41" t="s">
        <v>1475</v>
      </c>
      <c r="L217" s="42" t="s">
        <v>74</v>
      </c>
      <c r="M217" s="41" t="s">
        <v>1336</v>
      </c>
      <c r="N217" s="43" t="s">
        <v>1337</v>
      </c>
      <c r="O217" s="44" t="s">
        <v>1422</v>
      </c>
      <c r="P217" s="45"/>
      <c r="Q217" s="45" t="s">
        <v>67</v>
      </c>
      <c r="R217" s="46">
        <v>2.0</v>
      </c>
      <c r="S217" s="45" t="s">
        <v>67</v>
      </c>
      <c r="T217" s="58" t="s">
        <v>1476</v>
      </c>
      <c r="U217" s="45" t="s">
        <v>67</v>
      </c>
      <c r="V217" s="45"/>
      <c r="W217" s="68">
        <v>44307.0</v>
      </c>
      <c r="X217" s="49" t="s">
        <v>205</v>
      </c>
      <c r="Y217" s="49" t="s">
        <v>1260</v>
      </c>
      <c r="Z217" s="40" t="s">
        <v>1396</v>
      </c>
      <c r="AA217" s="45" t="s">
        <v>74</v>
      </c>
      <c r="AB217" s="45" t="s">
        <v>67</v>
      </c>
      <c r="AC217" s="45" t="s">
        <v>458</v>
      </c>
      <c r="AD217" s="51" t="s">
        <v>76</v>
      </c>
      <c r="AE217" s="54"/>
      <c r="AF217" s="45" t="s">
        <v>67</v>
      </c>
      <c r="AG217" s="45"/>
      <c r="AH217" s="45">
        <v>45.0</v>
      </c>
      <c r="AI217" s="45"/>
      <c r="AJ217" s="45"/>
      <c r="AK217" s="45"/>
      <c r="AL217" s="45"/>
      <c r="AM217" s="45"/>
      <c r="AN217" s="45">
        <v>1.0</v>
      </c>
      <c r="AO217" s="55"/>
      <c r="AP217" s="54"/>
      <c r="AQ217" s="54"/>
      <c r="AR217" s="54"/>
      <c r="AS217" s="54"/>
      <c r="AT217" s="54"/>
    </row>
    <row r="218">
      <c r="A218" s="35" t="s">
        <v>1477</v>
      </c>
      <c r="B218" s="36" t="s">
        <v>1332</v>
      </c>
      <c r="C218" s="36" t="s">
        <v>1332</v>
      </c>
      <c r="D218" s="36" t="s">
        <v>1478</v>
      </c>
      <c r="E218" s="62" t="s">
        <v>1479</v>
      </c>
      <c r="F218" s="38" t="s">
        <v>1480</v>
      </c>
      <c r="G218" s="61">
        <v>9.28883655E8</v>
      </c>
      <c r="H218" s="40">
        <v>2811.0</v>
      </c>
      <c r="I218" s="40">
        <v>1010.0</v>
      </c>
      <c r="J218" s="40" t="s">
        <v>65</v>
      </c>
      <c r="K218" s="42" t="s">
        <v>1481</v>
      </c>
      <c r="L218" s="42" t="s">
        <v>67</v>
      </c>
      <c r="M218" s="41" t="s">
        <v>1336</v>
      </c>
      <c r="N218" s="43" t="s">
        <v>1337</v>
      </c>
      <c r="O218" s="59" t="s">
        <v>1338</v>
      </c>
      <c r="P218" s="45"/>
      <c r="Q218" s="45" t="s">
        <v>67</v>
      </c>
      <c r="R218" s="46">
        <v>1.0</v>
      </c>
      <c r="S218" s="45" t="s">
        <v>67</v>
      </c>
      <c r="T218" s="64"/>
      <c r="U218" s="45" t="s">
        <v>67</v>
      </c>
      <c r="V218" s="45"/>
      <c r="W218" s="68">
        <v>44307.0</v>
      </c>
      <c r="X218" s="49" t="s">
        <v>205</v>
      </c>
      <c r="Y218" s="49" t="s">
        <v>1240</v>
      </c>
      <c r="Z218" s="40" t="s">
        <v>1396</v>
      </c>
      <c r="AA218" s="45" t="s">
        <v>74</v>
      </c>
      <c r="AB218" s="45" t="s">
        <v>67</v>
      </c>
      <c r="AC218" s="45" t="s">
        <v>135</v>
      </c>
      <c r="AD218" s="51" t="s">
        <v>76</v>
      </c>
      <c r="AE218" s="54"/>
      <c r="AF218" s="45" t="s">
        <v>67</v>
      </c>
      <c r="AG218" s="45"/>
      <c r="AH218" s="45">
        <v>10.0</v>
      </c>
      <c r="AI218" s="45"/>
      <c r="AJ218" s="45"/>
      <c r="AK218" s="45"/>
      <c r="AL218" s="45"/>
      <c r="AM218" s="45"/>
      <c r="AN218" s="45">
        <v>0.0</v>
      </c>
      <c r="AO218" s="55"/>
      <c r="AP218" s="54"/>
      <c r="AQ218" s="54"/>
      <c r="AR218" s="54"/>
      <c r="AS218" s="54"/>
      <c r="AT218" s="54"/>
    </row>
    <row r="219">
      <c r="A219" s="35" t="s">
        <v>1482</v>
      </c>
      <c r="B219" s="36" t="s">
        <v>1483</v>
      </c>
      <c r="C219" s="36" t="s">
        <v>1484</v>
      </c>
      <c r="D219" s="61" t="s">
        <v>1363</v>
      </c>
      <c r="E219" s="62" t="s">
        <v>1485</v>
      </c>
      <c r="F219" s="38" t="s">
        <v>1486</v>
      </c>
      <c r="G219" s="61">
        <v>9.69539519E8</v>
      </c>
      <c r="H219" s="40" t="s">
        <v>1487</v>
      </c>
      <c r="I219" s="40" t="s">
        <v>1488</v>
      </c>
      <c r="J219" s="40" t="s">
        <v>149</v>
      </c>
      <c r="K219" s="41" t="s">
        <v>1489</v>
      </c>
      <c r="L219" s="42" t="s">
        <v>74</v>
      </c>
      <c r="M219" s="53" t="s">
        <v>374</v>
      </c>
      <c r="N219" s="43" t="s">
        <v>375</v>
      </c>
      <c r="O219" s="44" t="s">
        <v>376</v>
      </c>
      <c r="P219" s="45" t="s">
        <v>67</v>
      </c>
      <c r="Q219" s="45" t="s">
        <v>67</v>
      </c>
      <c r="R219" s="46">
        <v>2.0</v>
      </c>
      <c r="S219" s="45" t="s">
        <v>67</v>
      </c>
      <c r="T219" s="58" t="s">
        <v>1490</v>
      </c>
      <c r="U219" s="45" t="s">
        <v>67</v>
      </c>
      <c r="V219" s="45"/>
      <c r="W219" s="103"/>
      <c r="X219" s="49" t="s">
        <v>205</v>
      </c>
      <c r="Y219" s="49"/>
      <c r="Z219" s="40" t="s">
        <v>1396</v>
      </c>
      <c r="AA219" s="45" t="s">
        <v>74</v>
      </c>
      <c r="AB219" s="45" t="s">
        <v>67</v>
      </c>
      <c r="AC219" s="45"/>
      <c r="AD219" s="51" t="s">
        <v>76</v>
      </c>
      <c r="AE219" s="54"/>
      <c r="AF219" s="45"/>
      <c r="AG219" s="45"/>
      <c r="AH219" s="45">
        <v>0.0</v>
      </c>
      <c r="AI219" s="45"/>
      <c r="AJ219" s="45"/>
      <c r="AK219" s="45"/>
      <c r="AL219" s="45"/>
      <c r="AM219" s="45"/>
      <c r="AN219" s="45">
        <v>0.0</v>
      </c>
      <c r="AO219" s="55"/>
      <c r="AP219" s="54"/>
      <c r="AQ219" s="54"/>
      <c r="AR219" s="54"/>
      <c r="AS219" s="54"/>
      <c r="AT219" s="54"/>
    </row>
    <row r="220">
      <c r="A220" s="35" t="s">
        <v>1491</v>
      </c>
      <c r="B220" s="36" t="s">
        <v>1483</v>
      </c>
      <c r="C220" s="36" t="s">
        <v>1492</v>
      </c>
      <c r="D220" s="36" t="s">
        <v>1493</v>
      </c>
      <c r="E220" s="62" t="s">
        <v>1494</v>
      </c>
      <c r="F220" s="38" t="s">
        <v>1495</v>
      </c>
      <c r="G220" s="61"/>
      <c r="H220" s="40"/>
      <c r="I220" s="40"/>
      <c r="J220" s="40" t="s">
        <v>224</v>
      </c>
      <c r="K220" s="42" t="s">
        <v>1496</v>
      </c>
      <c r="L220" s="42" t="s">
        <v>67</v>
      </c>
      <c r="M220" s="53" t="s">
        <v>1497</v>
      </c>
      <c r="N220" s="43" t="s">
        <v>1498</v>
      </c>
      <c r="O220" s="44">
        <v>0.0</v>
      </c>
      <c r="P220" s="45" t="s">
        <v>67</v>
      </c>
      <c r="Q220" s="45" t="s">
        <v>67</v>
      </c>
      <c r="R220" s="46">
        <v>1.0</v>
      </c>
      <c r="S220" s="45" t="s">
        <v>67</v>
      </c>
      <c r="T220" s="64"/>
      <c r="U220" s="45" t="s">
        <v>67</v>
      </c>
      <c r="V220" s="45"/>
      <c r="W220" s="103"/>
      <c r="X220" s="49" t="s">
        <v>205</v>
      </c>
      <c r="Y220" s="49" t="s">
        <v>378</v>
      </c>
      <c r="Z220" s="40" t="s">
        <v>1396</v>
      </c>
      <c r="AA220" s="45" t="s">
        <v>74</v>
      </c>
      <c r="AB220" s="45" t="s">
        <v>67</v>
      </c>
      <c r="AC220" s="45" t="s">
        <v>287</v>
      </c>
      <c r="AD220" s="51" t="s">
        <v>76</v>
      </c>
      <c r="AE220" s="54"/>
      <c r="AF220" s="45" t="s">
        <v>67</v>
      </c>
      <c r="AG220" s="45"/>
      <c r="AH220" s="45">
        <v>21.0</v>
      </c>
      <c r="AI220" s="45"/>
      <c r="AJ220" s="45"/>
      <c r="AK220" s="45"/>
      <c r="AL220" s="45"/>
      <c r="AM220" s="45"/>
      <c r="AN220" s="45">
        <v>0.0</v>
      </c>
      <c r="AO220" s="55"/>
      <c r="AP220" s="54"/>
      <c r="AQ220" s="54"/>
      <c r="AR220" s="54"/>
      <c r="AS220" s="54"/>
      <c r="AT220" s="54"/>
    </row>
    <row r="221">
      <c r="A221" s="35" t="s">
        <v>1499</v>
      </c>
      <c r="B221" s="36" t="s">
        <v>1483</v>
      </c>
      <c r="C221" s="36" t="s">
        <v>1500</v>
      </c>
      <c r="D221" s="36" t="s">
        <v>1501</v>
      </c>
      <c r="E221" s="62" t="s">
        <v>1502</v>
      </c>
      <c r="F221" s="38" t="s">
        <v>1503</v>
      </c>
      <c r="G221" s="61">
        <v>9.91658418E8</v>
      </c>
      <c r="H221" s="40">
        <v>2796.0</v>
      </c>
      <c r="I221" s="40">
        <v>1161.0</v>
      </c>
      <c r="J221" s="40" t="s">
        <v>65</v>
      </c>
      <c r="K221" s="41" t="s">
        <v>1504</v>
      </c>
      <c r="L221" s="42" t="s">
        <v>67</v>
      </c>
      <c r="M221" s="41" t="s">
        <v>1505</v>
      </c>
      <c r="N221" s="43" t="s">
        <v>1506</v>
      </c>
      <c r="O221" s="59">
        <v>9.51604389E8</v>
      </c>
      <c r="P221" s="45"/>
      <c r="Q221" s="45" t="s">
        <v>67</v>
      </c>
      <c r="R221" s="46">
        <v>1.0</v>
      </c>
      <c r="S221" s="45" t="s">
        <v>67</v>
      </c>
      <c r="T221" s="64"/>
      <c r="U221" s="45" t="s">
        <v>67</v>
      </c>
      <c r="V221" s="45"/>
      <c r="W221" s="68">
        <v>46133.0</v>
      </c>
      <c r="X221" s="49" t="s">
        <v>205</v>
      </c>
      <c r="Y221" s="49" t="s">
        <v>1240</v>
      </c>
      <c r="Z221" s="40" t="s">
        <v>1396</v>
      </c>
      <c r="AA221" s="45" t="s">
        <v>74</v>
      </c>
      <c r="AB221" s="45" t="s">
        <v>67</v>
      </c>
      <c r="AC221" s="45" t="s">
        <v>96</v>
      </c>
      <c r="AD221" s="51" t="s">
        <v>76</v>
      </c>
      <c r="AE221" s="54"/>
      <c r="AF221" s="45" t="s">
        <v>67</v>
      </c>
      <c r="AG221" s="45"/>
      <c r="AH221" s="45">
        <v>20.0</v>
      </c>
      <c r="AI221" s="45"/>
      <c r="AJ221" s="45"/>
      <c r="AK221" s="45"/>
      <c r="AL221" s="45"/>
      <c r="AM221" s="45"/>
      <c r="AN221" s="45">
        <v>0.0</v>
      </c>
      <c r="AO221" s="55"/>
      <c r="AP221" s="54"/>
      <c r="AQ221" s="54"/>
      <c r="AR221" s="54"/>
      <c r="AS221" s="54"/>
      <c r="AT221" s="54"/>
    </row>
    <row r="222">
      <c r="A222" s="35" t="s">
        <v>1507</v>
      </c>
      <c r="B222" s="36" t="s">
        <v>1483</v>
      </c>
      <c r="C222" s="36" t="s">
        <v>1508</v>
      </c>
      <c r="D222" s="36" t="s">
        <v>1509</v>
      </c>
      <c r="E222" s="62" t="s">
        <v>1510</v>
      </c>
      <c r="F222" s="38" t="s">
        <v>1511</v>
      </c>
      <c r="G222" s="61">
        <v>9.58139835E8</v>
      </c>
      <c r="H222" s="40">
        <v>2816.0</v>
      </c>
      <c r="I222" s="40">
        <v>1016.0</v>
      </c>
      <c r="J222" s="40" t="s">
        <v>65</v>
      </c>
      <c r="K222" s="41" t="s">
        <v>1512</v>
      </c>
      <c r="L222" s="42" t="s">
        <v>74</v>
      </c>
      <c r="M222" s="41" t="s">
        <v>1505</v>
      </c>
      <c r="N222" s="43" t="s">
        <v>1506</v>
      </c>
      <c r="O222" s="59">
        <v>9.51604389E8</v>
      </c>
      <c r="P222" s="45"/>
      <c r="Q222" s="45" t="s">
        <v>67</v>
      </c>
      <c r="R222" s="46">
        <v>1.0</v>
      </c>
      <c r="S222" s="45" t="s">
        <v>67</v>
      </c>
      <c r="T222" s="64"/>
      <c r="U222" s="45" t="s">
        <v>67</v>
      </c>
      <c r="V222" s="45"/>
      <c r="W222" s="103"/>
      <c r="X222" s="49" t="s">
        <v>205</v>
      </c>
      <c r="Y222" s="49" t="s">
        <v>393</v>
      </c>
      <c r="Z222" s="40" t="s">
        <v>1396</v>
      </c>
      <c r="AA222" s="45" t="s">
        <v>74</v>
      </c>
      <c r="AB222" s="45" t="s">
        <v>67</v>
      </c>
      <c r="AC222" s="45" t="s">
        <v>287</v>
      </c>
      <c r="AD222" s="51" t="s">
        <v>76</v>
      </c>
      <c r="AE222" s="54"/>
      <c r="AF222" s="45" t="s">
        <v>67</v>
      </c>
      <c r="AG222" s="45"/>
      <c r="AH222" s="45">
        <v>0.0</v>
      </c>
      <c r="AI222" s="45"/>
      <c r="AJ222" s="45"/>
      <c r="AK222" s="45"/>
      <c r="AL222" s="45"/>
      <c r="AM222" s="45"/>
      <c r="AN222" s="45">
        <v>0.0</v>
      </c>
      <c r="AO222" s="55"/>
      <c r="AP222" s="54"/>
      <c r="AQ222" s="54"/>
      <c r="AR222" s="54"/>
      <c r="AS222" s="54"/>
      <c r="AT222" s="54"/>
    </row>
    <row r="223">
      <c r="A223" s="35" t="s">
        <v>1513</v>
      </c>
      <c r="B223" s="36" t="s">
        <v>1483</v>
      </c>
      <c r="C223" s="36" t="s">
        <v>1508</v>
      </c>
      <c r="D223" s="36" t="s">
        <v>1514</v>
      </c>
      <c r="E223" s="62" t="s">
        <v>1515</v>
      </c>
      <c r="F223" s="38" t="s">
        <v>1516</v>
      </c>
      <c r="G223" s="61">
        <v>9.96033338E8</v>
      </c>
      <c r="H223" s="40">
        <v>2797.0</v>
      </c>
      <c r="I223" s="40">
        <v>1162.0</v>
      </c>
      <c r="J223" s="40" t="s">
        <v>65</v>
      </c>
      <c r="K223" s="42" t="s">
        <v>1517</v>
      </c>
      <c r="L223" s="42" t="s">
        <v>74</v>
      </c>
      <c r="M223" s="41" t="s">
        <v>1505</v>
      </c>
      <c r="N223" s="43" t="s">
        <v>1506</v>
      </c>
      <c r="O223" s="59">
        <v>9.51604389E8</v>
      </c>
      <c r="P223" s="45"/>
      <c r="Q223" s="45" t="s">
        <v>67</v>
      </c>
      <c r="R223" s="46">
        <v>1.0</v>
      </c>
      <c r="S223" s="45" t="s">
        <v>67</v>
      </c>
      <c r="T223" s="64"/>
      <c r="U223" s="45" t="s">
        <v>67</v>
      </c>
      <c r="V223" s="45"/>
      <c r="W223" s="103"/>
      <c r="X223" s="49" t="s">
        <v>205</v>
      </c>
      <c r="Y223" s="49" t="s">
        <v>1416</v>
      </c>
      <c r="Z223" s="40" t="s">
        <v>1396</v>
      </c>
      <c r="AA223" s="45" t="s">
        <v>67</v>
      </c>
      <c r="AB223" s="45" t="s">
        <v>67</v>
      </c>
      <c r="AC223" s="45" t="s">
        <v>135</v>
      </c>
      <c r="AD223" s="51" t="s">
        <v>76</v>
      </c>
      <c r="AE223" s="54"/>
      <c r="AF223" s="45" t="s">
        <v>67</v>
      </c>
      <c r="AG223" s="45"/>
      <c r="AH223" s="45">
        <v>15.0</v>
      </c>
      <c r="AI223" s="45"/>
      <c r="AJ223" s="45"/>
      <c r="AK223" s="45"/>
      <c r="AL223" s="45"/>
      <c r="AM223" s="45"/>
      <c r="AN223" s="45">
        <v>0.0</v>
      </c>
      <c r="AO223" s="55"/>
      <c r="AP223" s="54"/>
      <c r="AQ223" s="54"/>
      <c r="AR223" s="54"/>
      <c r="AS223" s="54"/>
      <c r="AT223" s="54"/>
    </row>
    <row r="224">
      <c r="A224" s="35" t="s">
        <v>1518</v>
      </c>
      <c r="B224" s="36" t="s">
        <v>1483</v>
      </c>
      <c r="C224" s="36" t="s">
        <v>1492</v>
      </c>
      <c r="D224" s="36" t="s">
        <v>1492</v>
      </c>
      <c r="E224" s="62" t="s">
        <v>1519</v>
      </c>
      <c r="F224" s="38" t="s">
        <v>1520</v>
      </c>
      <c r="G224" s="160"/>
      <c r="H224" s="40"/>
      <c r="I224" s="40"/>
      <c r="J224" s="40" t="s">
        <v>224</v>
      </c>
      <c r="K224" s="41" t="s">
        <v>1521</v>
      </c>
      <c r="L224" s="42" t="s">
        <v>74</v>
      </c>
      <c r="M224" s="41" t="s">
        <v>1497</v>
      </c>
      <c r="N224" s="43" t="s">
        <v>1498</v>
      </c>
      <c r="O224" s="44">
        <v>0.0</v>
      </c>
      <c r="P224" s="45"/>
      <c r="Q224" s="45" t="s">
        <v>67</v>
      </c>
      <c r="R224" s="46">
        <v>1.0</v>
      </c>
      <c r="S224" s="45" t="s">
        <v>67</v>
      </c>
      <c r="T224" s="64"/>
      <c r="U224" s="45" t="s">
        <v>67</v>
      </c>
      <c r="V224" s="45"/>
      <c r="W224" s="103"/>
      <c r="X224" s="49" t="s">
        <v>205</v>
      </c>
      <c r="Y224" s="49" t="s">
        <v>1381</v>
      </c>
      <c r="Z224" s="40" t="s">
        <v>1396</v>
      </c>
      <c r="AA224" s="45" t="s">
        <v>74</v>
      </c>
      <c r="AB224" s="45" t="s">
        <v>67</v>
      </c>
      <c r="AC224" s="45" t="s">
        <v>306</v>
      </c>
      <c r="AD224" s="51" t="s">
        <v>76</v>
      </c>
      <c r="AE224" s="54"/>
      <c r="AF224" s="45" t="s">
        <v>67</v>
      </c>
      <c r="AG224" s="45"/>
      <c r="AH224" s="45">
        <v>0.0</v>
      </c>
      <c r="AI224" s="45"/>
      <c r="AJ224" s="45"/>
      <c r="AK224" s="45"/>
      <c r="AL224" s="45"/>
      <c r="AM224" s="45"/>
      <c r="AN224" s="45">
        <v>0.0</v>
      </c>
      <c r="AO224" s="55"/>
      <c r="AP224" s="54"/>
      <c r="AQ224" s="54"/>
      <c r="AR224" s="54"/>
      <c r="AS224" s="54"/>
      <c r="AT224" s="54"/>
    </row>
    <row r="225">
      <c r="A225" s="35" t="s">
        <v>1522</v>
      </c>
      <c r="B225" s="36" t="s">
        <v>1483</v>
      </c>
      <c r="C225" s="36" t="s">
        <v>1523</v>
      </c>
      <c r="D225" s="36" t="s">
        <v>1524</v>
      </c>
      <c r="E225" s="62" t="s">
        <v>1525</v>
      </c>
      <c r="F225" s="38" t="s">
        <v>1526</v>
      </c>
      <c r="G225" s="61"/>
      <c r="H225" s="40"/>
      <c r="I225" s="40"/>
      <c r="J225" s="40" t="s">
        <v>224</v>
      </c>
      <c r="K225" s="41" t="s">
        <v>1527</v>
      </c>
      <c r="L225" s="42" t="s">
        <v>74</v>
      </c>
      <c r="M225" s="41" t="s">
        <v>1505</v>
      </c>
      <c r="N225" s="43" t="s">
        <v>1506</v>
      </c>
      <c r="O225" s="59">
        <v>9.51604389E8</v>
      </c>
      <c r="P225" s="45"/>
      <c r="Q225" s="45" t="s">
        <v>226</v>
      </c>
      <c r="R225" s="46">
        <v>1.0</v>
      </c>
      <c r="S225" s="45" t="s">
        <v>67</v>
      </c>
      <c r="T225" s="64"/>
      <c r="U225" s="45" t="s">
        <v>67</v>
      </c>
      <c r="V225" s="45"/>
      <c r="W225" s="103"/>
      <c r="X225" s="49" t="s">
        <v>205</v>
      </c>
      <c r="Y225" s="49" t="s">
        <v>1416</v>
      </c>
      <c r="Z225" s="40" t="s">
        <v>1396</v>
      </c>
      <c r="AA225" s="45" t="s">
        <v>74</v>
      </c>
      <c r="AB225" s="45" t="s">
        <v>67</v>
      </c>
      <c r="AC225" s="45" t="s">
        <v>195</v>
      </c>
      <c r="AD225" s="51" t="s">
        <v>76</v>
      </c>
      <c r="AE225" s="54"/>
      <c r="AF225" s="45" t="s">
        <v>67</v>
      </c>
      <c r="AG225" s="45"/>
      <c r="AH225" s="45">
        <v>47.0</v>
      </c>
      <c r="AI225" s="45"/>
      <c r="AJ225" s="45"/>
      <c r="AK225" s="45"/>
      <c r="AL225" s="45"/>
      <c r="AM225" s="45"/>
      <c r="AN225" s="45">
        <v>0.0</v>
      </c>
      <c r="AO225" s="55"/>
      <c r="AP225" s="54"/>
      <c r="AQ225" s="54"/>
      <c r="AR225" s="54"/>
      <c r="AS225" s="54"/>
      <c r="AT225" s="54"/>
    </row>
    <row r="226">
      <c r="A226" s="35" t="s">
        <v>1528</v>
      </c>
      <c r="B226" s="36" t="s">
        <v>1483</v>
      </c>
      <c r="C226" s="36" t="s">
        <v>1529</v>
      </c>
      <c r="D226" s="36" t="s">
        <v>1530</v>
      </c>
      <c r="E226" s="62" t="s">
        <v>1531</v>
      </c>
      <c r="F226" s="38" t="s">
        <v>1532</v>
      </c>
      <c r="G226" s="61">
        <v>9.31847329E8</v>
      </c>
      <c r="H226" s="40">
        <v>2818.0</v>
      </c>
      <c r="I226" s="40">
        <v>1019.0</v>
      </c>
      <c r="J226" s="40" t="s">
        <v>65</v>
      </c>
      <c r="K226" s="42" t="s">
        <v>1533</v>
      </c>
      <c r="L226" s="42" t="s">
        <v>74</v>
      </c>
      <c r="M226" s="41" t="s">
        <v>1505</v>
      </c>
      <c r="N226" s="43" t="s">
        <v>1506</v>
      </c>
      <c r="O226" s="59">
        <v>9.51604389E8</v>
      </c>
      <c r="P226" s="45"/>
      <c r="Q226" s="45" t="s">
        <v>67</v>
      </c>
      <c r="R226" s="46">
        <v>1.0</v>
      </c>
      <c r="S226" s="45" t="s">
        <v>67</v>
      </c>
      <c r="T226" s="64"/>
      <c r="U226" s="45" t="s">
        <v>67</v>
      </c>
      <c r="V226" s="45"/>
      <c r="W226" s="103"/>
      <c r="X226" s="49" t="s">
        <v>205</v>
      </c>
      <c r="Y226" s="49" t="s">
        <v>1534</v>
      </c>
      <c r="Z226" s="40" t="s">
        <v>1396</v>
      </c>
      <c r="AA226" s="45" t="s">
        <v>74</v>
      </c>
      <c r="AB226" s="45" t="s">
        <v>67</v>
      </c>
      <c r="AC226" s="45" t="s">
        <v>458</v>
      </c>
      <c r="AD226" s="51" t="s">
        <v>76</v>
      </c>
      <c r="AE226" s="54"/>
      <c r="AF226" s="45" t="s">
        <v>67</v>
      </c>
      <c r="AG226" s="45"/>
      <c r="AH226" s="45">
        <v>46.0</v>
      </c>
      <c r="AI226" s="45"/>
      <c r="AJ226" s="45"/>
      <c r="AK226" s="45"/>
      <c r="AL226" s="45"/>
      <c r="AM226" s="45"/>
      <c r="AN226" s="45">
        <v>3.0</v>
      </c>
      <c r="AO226" s="55"/>
      <c r="AP226" s="54"/>
      <c r="AQ226" s="54"/>
      <c r="AR226" s="54"/>
      <c r="AS226" s="54"/>
      <c r="AT226" s="54"/>
    </row>
    <row r="227">
      <c r="A227" s="35" t="s">
        <v>1535</v>
      </c>
      <c r="B227" s="36" t="s">
        <v>1483</v>
      </c>
      <c r="C227" s="36" t="s">
        <v>1508</v>
      </c>
      <c r="D227" s="36" t="s">
        <v>1536</v>
      </c>
      <c r="E227" s="62" t="s">
        <v>1537</v>
      </c>
      <c r="F227" s="38" t="s">
        <v>1538</v>
      </c>
      <c r="G227" s="61">
        <v>9.23501697E8</v>
      </c>
      <c r="H227" s="40">
        <v>2828.0</v>
      </c>
      <c r="I227" s="40">
        <v>1028.0</v>
      </c>
      <c r="J227" s="40" t="s">
        <v>65</v>
      </c>
      <c r="K227" s="41" t="s">
        <v>1539</v>
      </c>
      <c r="L227" s="42" t="s">
        <v>74</v>
      </c>
      <c r="M227" s="41" t="s">
        <v>1505</v>
      </c>
      <c r="N227" s="43" t="s">
        <v>1506</v>
      </c>
      <c r="O227" s="59">
        <v>9.51604389E8</v>
      </c>
      <c r="P227" s="45"/>
      <c r="Q227" s="45" t="s">
        <v>67</v>
      </c>
      <c r="R227" s="46">
        <v>1.0</v>
      </c>
      <c r="S227" s="45" t="s">
        <v>67</v>
      </c>
      <c r="T227" s="64"/>
      <c r="U227" s="45" t="s">
        <v>67</v>
      </c>
      <c r="V227" s="45"/>
      <c r="W227" s="103"/>
      <c r="X227" s="49" t="s">
        <v>205</v>
      </c>
      <c r="Y227" s="49" t="s">
        <v>1260</v>
      </c>
      <c r="Z227" s="40" t="s">
        <v>1396</v>
      </c>
      <c r="AA227" s="45" t="s">
        <v>74</v>
      </c>
      <c r="AB227" s="45" t="s">
        <v>67</v>
      </c>
      <c r="AC227" s="45" t="s">
        <v>287</v>
      </c>
      <c r="AD227" s="51" t="s">
        <v>76</v>
      </c>
      <c r="AE227" s="54"/>
      <c r="AF227" s="45" t="s">
        <v>67</v>
      </c>
      <c r="AG227" s="45"/>
      <c r="AH227" s="45">
        <v>9.0</v>
      </c>
      <c r="AI227" s="45"/>
      <c r="AJ227" s="45"/>
      <c r="AK227" s="45"/>
      <c r="AL227" s="45"/>
      <c r="AM227" s="45"/>
      <c r="AN227" s="45">
        <v>0.0</v>
      </c>
      <c r="AO227" s="55"/>
      <c r="AP227" s="54"/>
      <c r="AQ227" s="54"/>
      <c r="AR227" s="54"/>
      <c r="AS227" s="54"/>
      <c r="AT227" s="54"/>
    </row>
    <row r="228">
      <c r="A228" s="35" t="s">
        <v>1540</v>
      </c>
      <c r="B228" s="36" t="s">
        <v>1483</v>
      </c>
      <c r="C228" s="36" t="s">
        <v>1541</v>
      </c>
      <c r="D228" s="36" t="s">
        <v>1542</v>
      </c>
      <c r="E228" s="62" t="s">
        <v>1543</v>
      </c>
      <c r="F228" s="38" t="s">
        <v>1544</v>
      </c>
      <c r="G228" s="61">
        <v>9.20010553E8</v>
      </c>
      <c r="H228" s="40">
        <v>2817.0</v>
      </c>
      <c r="I228" s="40">
        <v>1018.0</v>
      </c>
      <c r="J228" s="40" t="s">
        <v>65</v>
      </c>
      <c r="K228" s="42" t="s">
        <v>1545</v>
      </c>
      <c r="L228" s="42" t="s">
        <v>74</v>
      </c>
      <c r="M228" s="53" t="s">
        <v>1546</v>
      </c>
      <c r="N228" s="58" t="s">
        <v>1547</v>
      </c>
      <c r="O228" s="44">
        <v>0.0</v>
      </c>
      <c r="P228" s="45" t="s">
        <v>67</v>
      </c>
      <c r="Q228" s="45" t="s">
        <v>67</v>
      </c>
      <c r="R228" s="46">
        <v>2.0</v>
      </c>
      <c r="S228" s="45" t="s">
        <v>67</v>
      </c>
      <c r="T228" s="64"/>
      <c r="U228" s="45" t="s">
        <v>67</v>
      </c>
      <c r="V228" s="45"/>
      <c r="W228" s="68">
        <v>46133.0</v>
      </c>
      <c r="X228" s="49" t="s">
        <v>205</v>
      </c>
      <c r="Y228" s="49"/>
      <c r="Z228" s="40" t="s">
        <v>1396</v>
      </c>
      <c r="AA228" s="45" t="s">
        <v>74</v>
      </c>
      <c r="AB228" s="45" t="s">
        <v>67</v>
      </c>
      <c r="AC228" s="45" t="s">
        <v>195</v>
      </c>
      <c r="AD228" s="51" t="s">
        <v>76</v>
      </c>
      <c r="AE228" s="54"/>
      <c r="AF228" s="45" t="s">
        <v>67</v>
      </c>
      <c r="AG228" s="45"/>
      <c r="AH228" s="45">
        <v>37.0</v>
      </c>
      <c r="AI228" s="45"/>
      <c r="AJ228" s="45"/>
      <c r="AK228" s="45"/>
      <c r="AL228" s="45"/>
      <c r="AM228" s="45"/>
      <c r="AN228" s="45">
        <v>0.0</v>
      </c>
      <c r="AO228" s="55"/>
      <c r="AP228" s="54"/>
      <c r="AQ228" s="54"/>
      <c r="AR228" s="54"/>
      <c r="AS228" s="54"/>
      <c r="AT228" s="54"/>
    </row>
    <row r="229">
      <c r="A229" s="35" t="s">
        <v>1548</v>
      </c>
      <c r="B229" s="36" t="s">
        <v>1483</v>
      </c>
      <c r="C229" s="36" t="s">
        <v>1529</v>
      </c>
      <c r="D229" s="36" t="s">
        <v>1549</v>
      </c>
      <c r="E229" s="62" t="s">
        <v>1550</v>
      </c>
      <c r="F229" s="38" t="s">
        <v>1551</v>
      </c>
      <c r="G229" s="61">
        <v>9.2884525E8</v>
      </c>
      <c r="H229" s="40">
        <v>2819.0</v>
      </c>
      <c r="I229" s="40">
        <v>1020.0</v>
      </c>
      <c r="J229" s="40" t="s">
        <v>65</v>
      </c>
      <c r="K229" s="41" t="s">
        <v>1552</v>
      </c>
      <c r="L229" s="42" t="s">
        <v>67</v>
      </c>
      <c r="M229" s="41" t="s">
        <v>1505</v>
      </c>
      <c r="N229" s="43" t="s">
        <v>1506</v>
      </c>
      <c r="O229" s="59">
        <v>9.51604389E8</v>
      </c>
      <c r="P229" s="45"/>
      <c r="Q229" s="45" t="s">
        <v>67</v>
      </c>
      <c r="R229" s="46">
        <v>1.0</v>
      </c>
      <c r="S229" s="45" t="s">
        <v>67</v>
      </c>
      <c r="T229" s="64"/>
      <c r="U229" s="45" t="s">
        <v>67</v>
      </c>
      <c r="V229" s="45"/>
      <c r="W229" s="68">
        <v>46133.0</v>
      </c>
      <c r="X229" s="49" t="s">
        <v>205</v>
      </c>
      <c r="Y229" s="49" t="s">
        <v>1381</v>
      </c>
      <c r="Z229" s="40" t="s">
        <v>1396</v>
      </c>
      <c r="AA229" s="45" t="s">
        <v>74</v>
      </c>
      <c r="AB229" s="45" t="s">
        <v>67</v>
      </c>
      <c r="AC229" s="45" t="s">
        <v>135</v>
      </c>
      <c r="AD229" s="51" t="s">
        <v>76</v>
      </c>
      <c r="AE229" s="54"/>
      <c r="AF229" s="45" t="s">
        <v>67</v>
      </c>
      <c r="AG229" s="45"/>
      <c r="AH229" s="45">
        <v>23.0</v>
      </c>
      <c r="AI229" s="45"/>
      <c r="AJ229" s="45"/>
      <c r="AK229" s="45"/>
      <c r="AL229" s="45"/>
      <c r="AM229" s="45"/>
      <c r="AN229" s="45">
        <v>0.0</v>
      </c>
      <c r="AO229" s="55"/>
      <c r="AP229" s="54"/>
      <c r="AQ229" s="54"/>
      <c r="AR229" s="54"/>
      <c r="AS229" s="54"/>
      <c r="AT229" s="54"/>
    </row>
    <row r="230">
      <c r="A230" s="35" t="s">
        <v>1553</v>
      </c>
      <c r="B230" s="36" t="s">
        <v>1483</v>
      </c>
      <c r="C230" s="36" t="s">
        <v>1500</v>
      </c>
      <c r="D230" s="36" t="s">
        <v>1554</v>
      </c>
      <c r="E230" s="62" t="s">
        <v>1555</v>
      </c>
      <c r="F230" s="38" t="s">
        <v>1556</v>
      </c>
      <c r="G230" s="61">
        <v>9.65112394E8</v>
      </c>
      <c r="H230" s="40">
        <v>2831.0</v>
      </c>
      <c r="I230" s="40">
        <v>1031.0</v>
      </c>
      <c r="J230" s="40" t="s">
        <v>65</v>
      </c>
      <c r="K230" s="41" t="s">
        <v>1557</v>
      </c>
      <c r="L230" s="42" t="s">
        <v>67</v>
      </c>
      <c r="M230" s="41" t="s">
        <v>1505</v>
      </c>
      <c r="N230" s="43" t="s">
        <v>1506</v>
      </c>
      <c r="O230" s="59">
        <v>9.51604389E8</v>
      </c>
      <c r="P230" s="45"/>
      <c r="Q230" s="45" t="s">
        <v>67</v>
      </c>
      <c r="R230" s="46">
        <v>1.0</v>
      </c>
      <c r="S230" s="45" t="s">
        <v>67</v>
      </c>
      <c r="T230" s="64"/>
      <c r="U230" s="45" t="s">
        <v>67</v>
      </c>
      <c r="V230" s="45"/>
      <c r="W230" s="103"/>
      <c r="X230" s="49" t="s">
        <v>205</v>
      </c>
      <c r="Y230" s="49" t="s">
        <v>1260</v>
      </c>
      <c r="Z230" s="40" t="s">
        <v>1396</v>
      </c>
      <c r="AA230" s="45" t="s">
        <v>74</v>
      </c>
      <c r="AB230" s="45" t="s">
        <v>67</v>
      </c>
      <c r="AC230" s="45" t="s">
        <v>135</v>
      </c>
      <c r="AD230" s="51" t="s">
        <v>76</v>
      </c>
      <c r="AE230" s="54"/>
      <c r="AF230" s="45" t="s">
        <v>67</v>
      </c>
      <c r="AG230" s="45"/>
      <c r="AH230" s="45">
        <v>50.0</v>
      </c>
      <c r="AI230" s="45"/>
      <c r="AJ230" s="45"/>
      <c r="AK230" s="45"/>
      <c r="AL230" s="45"/>
      <c r="AM230" s="45"/>
      <c r="AN230" s="45">
        <v>0.0</v>
      </c>
      <c r="AO230" s="55"/>
      <c r="AP230" s="54"/>
      <c r="AQ230" s="54"/>
      <c r="AR230" s="54"/>
      <c r="AS230" s="54"/>
      <c r="AT230" s="54"/>
    </row>
    <row r="231">
      <c r="A231" s="35" t="s">
        <v>1558</v>
      </c>
      <c r="B231" s="36" t="s">
        <v>1483</v>
      </c>
      <c r="C231" s="36" t="s">
        <v>1492</v>
      </c>
      <c r="D231" s="36" t="s">
        <v>1559</v>
      </c>
      <c r="E231" s="62" t="s">
        <v>1560</v>
      </c>
      <c r="F231" s="38" t="s">
        <v>1561</v>
      </c>
      <c r="G231" s="61">
        <v>9.41798694E8</v>
      </c>
      <c r="H231" s="40"/>
      <c r="I231" s="40">
        <v>1212.0</v>
      </c>
      <c r="J231" s="40" t="s">
        <v>65</v>
      </c>
      <c r="K231" s="42" t="s">
        <v>1562</v>
      </c>
      <c r="L231" s="42" t="s">
        <v>67</v>
      </c>
      <c r="M231" s="53" t="s">
        <v>1497</v>
      </c>
      <c r="N231" s="43" t="s">
        <v>1498</v>
      </c>
      <c r="O231" s="44">
        <v>0.0</v>
      </c>
      <c r="P231" s="45" t="s">
        <v>67</v>
      </c>
      <c r="Q231" s="45" t="s">
        <v>67</v>
      </c>
      <c r="R231" s="46">
        <v>1.0</v>
      </c>
      <c r="S231" s="45" t="s">
        <v>67</v>
      </c>
      <c r="T231" s="64"/>
      <c r="U231" s="45" t="s">
        <v>67</v>
      </c>
      <c r="V231" s="45"/>
      <c r="W231" s="103"/>
      <c r="X231" s="49" t="s">
        <v>205</v>
      </c>
      <c r="Y231" s="49" t="s">
        <v>992</v>
      </c>
      <c r="Z231" s="40" t="s">
        <v>1396</v>
      </c>
      <c r="AA231" s="45" t="s">
        <v>74</v>
      </c>
      <c r="AB231" s="45" t="s">
        <v>67</v>
      </c>
      <c r="AC231" s="45" t="s">
        <v>287</v>
      </c>
      <c r="AD231" s="51" t="s">
        <v>76</v>
      </c>
      <c r="AE231" s="54"/>
      <c r="AF231" s="45" t="s">
        <v>67</v>
      </c>
      <c r="AG231" s="45"/>
      <c r="AH231" s="45">
        <v>8.0</v>
      </c>
      <c r="AI231" s="45"/>
      <c r="AJ231" s="45"/>
      <c r="AK231" s="45"/>
      <c r="AL231" s="45"/>
      <c r="AM231" s="45"/>
      <c r="AN231" s="45">
        <v>0.0</v>
      </c>
      <c r="AO231" s="55"/>
      <c r="AP231" s="54"/>
      <c r="AQ231" s="54"/>
      <c r="AR231" s="54"/>
      <c r="AS231" s="54"/>
      <c r="AT231" s="54"/>
    </row>
    <row r="232">
      <c r="A232" s="35" t="s">
        <v>1558</v>
      </c>
      <c r="B232" s="36" t="s">
        <v>1483</v>
      </c>
      <c r="C232" s="36" t="s">
        <v>1492</v>
      </c>
      <c r="D232" s="36" t="s">
        <v>1559</v>
      </c>
      <c r="E232" s="62" t="s">
        <v>1563</v>
      </c>
      <c r="F232" s="38" t="s">
        <v>1564</v>
      </c>
      <c r="G232" s="161"/>
      <c r="H232" s="162"/>
      <c r="I232" s="162"/>
      <c r="J232" s="40" t="s">
        <v>224</v>
      </c>
      <c r="K232" s="41" t="s">
        <v>1565</v>
      </c>
      <c r="L232" s="42" t="s">
        <v>74</v>
      </c>
      <c r="M232" s="53" t="s">
        <v>1497</v>
      </c>
      <c r="N232" s="43" t="s">
        <v>1498</v>
      </c>
      <c r="O232" s="44">
        <v>0.0</v>
      </c>
      <c r="P232" s="45" t="s">
        <v>67</v>
      </c>
      <c r="Q232" s="45" t="s">
        <v>67</v>
      </c>
      <c r="R232" s="46">
        <v>1.0</v>
      </c>
      <c r="S232" s="45" t="s">
        <v>67</v>
      </c>
      <c r="T232" s="64"/>
      <c r="U232" s="45" t="s">
        <v>67</v>
      </c>
      <c r="V232" s="45"/>
      <c r="W232" s="103"/>
      <c r="X232" s="49" t="s">
        <v>205</v>
      </c>
      <c r="Y232" s="49" t="s">
        <v>378</v>
      </c>
      <c r="Z232" s="40" t="s">
        <v>1396</v>
      </c>
      <c r="AA232" s="45" t="s">
        <v>74</v>
      </c>
      <c r="AB232" s="45" t="s">
        <v>67</v>
      </c>
      <c r="AC232" s="45" t="s">
        <v>287</v>
      </c>
      <c r="AD232" s="51" t="s">
        <v>76</v>
      </c>
      <c r="AE232" s="54"/>
      <c r="AF232" s="45" t="s">
        <v>67</v>
      </c>
      <c r="AG232" s="45"/>
      <c r="AH232" s="45">
        <v>8.0</v>
      </c>
      <c r="AI232" s="45"/>
      <c r="AJ232" s="45"/>
      <c r="AK232" s="45"/>
      <c r="AL232" s="45"/>
      <c r="AM232" s="45"/>
      <c r="AN232" s="45">
        <v>0.0</v>
      </c>
      <c r="AO232" s="55"/>
      <c r="AP232" s="54"/>
      <c r="AQ232" s="54"/>
      <c r="AR232" s="54"/>
      <c r="AS232" s="54"/>
      <c r="AT232" s="54"/>
    </row>
    <row r="233">
      <c r="A233" s="35" t="s">
        <v>1566</v>
      </c>
      <c r="B233" s="36" t="s">
        <v>1483</v>
      </c>
      <c r="C233" s="36" t="s">
        <v>1492</v>
      </c>
      <c r="D233" s="36" t="s">
        <v>1567</v>
      </c>
      <c r="E233" s="62" t="s">
        <v>1568</v>
      </c>
      <c r="F233" s="38" t="s">
        <v>1569</v>
      </c>
      <c r="G233" s="61">
        <v>9.90545179E8</v>
      </c>
      <c r="H233" s="40">
        <v>2950.0</v>
      </c>
      <c r="I233" s="40">
        <v>996.0</v>
      </c>
      <c r="J233" s="40" t="s">
        <v>65</v>
      </c>
      <c r="K233" s="41" t="s">
        <v>1570</v>
      </c>
      <c r="L233" s="42" t="s">
        <v>67</v>
      </c>
      <c r="M233" s="53" t="s">
        <v>1497</v>
      </c>
      <c r="N233" s="43" t="s">
        <v>1498</v>
      </c>
      <c r="O233" s="44">
        <v>0.0</v>
      </c>
      <c r="P233" s="45" t="s">
        <v>67</v>
      </c>
      <c r="Q233" s="45" t="s">
        <v>67</v>
      </c>
      <c r="R233" s="46">
        <v>1.0</v>
      </c>
      <c r="S233" s="45" t="s">
        <v>67</v>
      </c>
      <c r="T233" s="64"/>
      <c r="U233" s="45" t="s">
        <v>67</v>
      </c>
      <c r="V233" s="45"/>
      <c r="W233" s="103"/>
      <c r="X233" s="49" t="s">
        <v>205</v>
      </c>
      <c r="Y233" s="49" t="s">
        <v>1381</v>
      </c>
      <c r="Z233" s="40" t="s">
        <v>1396</v>
      </c>
      <c r="AA233" s="45" t="s">
        <v>74</v>
      </c>
      <c r="AB233" s="45" t="s">
        <v>67</v>
      </c>
      <c r="AC233" s="45" t="s">
        <v>475</v>
      </c>
      <c r="AD233" s="51" t="s">
        <v>76</v>
      </c>
      <c r="AE233" s="54"/>
      <c r="AF233" s="45" t="s">
        <v>67</v>
      </c>
      <c r="AG233" s="45"/>
      <c r="AH233" s="45">
        <v>7.0</v>
      </c>
      <c r="AI233" s="45"/>
      <c r="AJ233" s="45"/>
      <c r="AK233" s="45"/>
      <c r="AL233" s="45"/>
      <c r="AM233" s="45"/>
      <c r="AN233" s="45">
        <v>0.0</v>
      </c>
      <c r="AO233" s="55"/>
      <c r="AP233" s="54"/>
      <c r="AQ233" s="54"/>
      <c r="AR233" s="54"/>
      <c r="AS233" s="54"/>
      <c r="AT233" s="54"/>
    </row>
    <row r="234" ht="29.25" customHeight="1">
      <c r="A234" s="35" t="s">
        <v>1571</v>
      </c>
      <c r="B234" s="36" t="s">
        <v>1572</v>
      </c>
      <c r="C234" s="36" t="s">
        <v>1573</v>
      </c>
      <c r="D234" s="36" t="s">
        <v>1574</v>
      </c>
      <c r="E234" s="62" t="s">
        <v>1575</v>
      </c>
      <c r="F234" s="38" t="s">
        <v>1576</v>
      </c>
      <c r="G234" s="61">
        <v>9.40305611E8</v>
      </c>
      <c r="H234" s="40">
        <v>2618.0</v>
      </c>
      <c r="I234" s="40">
        <v>1140.0</v>
      </c>
      <c r="J234" s="40" t="s">
        <v>149</v>
      </c>
      <c r="K234" s="42" t="s">
        <v>1577</v>
      </c>
      <c r="L234" s="42" t="s">
        <v>74</v>
      </c>
      <c r="M234" s="42" t="s">
        <v>1578</v>
      </c>
      <c r="N234" s="43" t="s">
        <v>1579</v>
      </c>
      <c r="O234" s="44" t="s">
        <v>1580</v>
      </c>
      <c r="P234" s="45"/>
      <c r="Q234" s="45" t="s">
        <v>67</v>
      </c>
      <c r="R234" s="46">
        <v>2.0</v>
      </c>
      <c r="S234" s="45" t="s">
        <v>74</v>
      </c>
      <c r="T234" s="58" t="s">
        <v>1581</v>
      </c>
      <c r="U234" s="45" t="s">
        <v>74</v>
      </c>
      <c r="V234" s="45"/>
      <c r="W234" s="63" t="s">
        <v>154</v>
      </c>
      <c r="X234" s="49" t="s">
        <v>1582</v>
      </c>
      <c r="Y234" s="49"/>
      <c r="Z234" s="40" t="s">
        <v>1583</v>
      </c>
      <c r="AA234" s="45" t="s">
        <v>74</v>
      </c>
      <c r="AB234" s="45" t="s">
        <v>67</v>
      </c>
      <c r="AC234" s="45"/>
      <c r="AD234" s="51" t="s">
        <v>76</v>
      </c>
      <c r="AE234" s="54"/>
      <c r="AF234" s="45"/>
      <c r="AG234" s="45"/>
      <c r="AH234" s="45">
        <v>0.0</v>
      </c>
      <c r="AI234" s="45"/>
      <c r="AJ234" s="45"/>
      <c r="AK234" s="45"/>
      <c r="AL234" s="45"/>
      <c r="AM234" s="45"/>
      <c r="AN234" s="45">
        <v>0.0</v>
      </c>
      <c r="AO234" s="55"/>
      <c r="AP234" s="54"/>
      <c r="AQ234" s="54"/>
      <c r="AR234" s="54"/>
      <c r="AS234" s="54"/>
      <c r="AT234" s="54"/>
    </row>
    <row r="235">
      <c r="A235" s="58" t="s">
        <v>1584</v>
      </c>
      <c r="B235" s="61" t="s">
        <v>1572</v>
      </c>
      <c r="C235" s="61" t="s">
        <v>1585</v>
      </c>
      <c r="D235" s="61" t="s">
        <v>1586</v>
      </c>
      <c r="E235" s="37" t="s">
        <v>1587</v>
      </c>
      <c r="F235" s="38" t="s">
        <v>1588</v>
      </c>
      <c r="G235" s="61">
        <v>9.93204267E8</v>
      </c>
      <c r="H235" s="40">
        <v>2937.0</v>
      </c>
      <c r="I235" s="40">
        <v>993.0</v>
      </c>
      <c r="J235" s="40" t="s">
        <v>65</v>
      </c>
      <c r="K235" s="41" t="s">
        <v>1589</v>
      </c>
      <c r="L235" s="42" t="s">
        <v>67</v>
      </c>
      <c r="M235" s="41" t="s">
        <v>1590</v>
      </c>
      <c r="N235" s="43" t="s">
        <v>1579</v>
      </c>
      <c r="O235" s="44" t="s">
        <v>1580</v>
      </c>
      <c r="P235" s="45"/>
      <c r="Q235" s="45" t="s">
        <v>67</v>
      </c>
      <c r="R235" s="46">
        <v>1.0</v>
      </c>
      <c r="S235" s="45" t="s">
        <v>67</v>
      </c>
      <c r="T235" s="163" t="s">
        <v>1591</v>
      </c>
      <c r="U235" s="45" t="s">
        <v>74</v>
      </c>
      <c r="V235" s="45"/>
      <c r="W235" s="68">
        <v>46133.0</v>
      </c>
      <c r="X235" s="49" t="s">
        <v>1592</v>
      </c>
      <c r="Y235" s="49" t="s">
        <v>666</v>
      </c>
      <c r="Z235" s="40" t="s">
        <v>1583</v>
      </c>
      <c r="AA235" s="45" t="s">
        <v>74</v>
      </c>
      <c r="AB235" s="45" t="s">
        <v>67</v>
      </c>
      <c r="AC235" s="45" t="s">
        <v>1593</v>
      </c>
      <c r="AD235" s="51" t="s">
        <v>76</v>
      </c>
      <c r="AE235" s="54"/>
      <c r="AF235" s="45" t="s">
        <v>67</v>
      </c>
      <c r="AG235" s="45"/>
      <c r="AH235" s="45">
        <v>9.0</v>
      </c>
      <c r="AI235" s="45"/>
      <c r="AJ235" s="45"/>
      <c r="AK235" s="45"/>
      <c r="AL235" s="45"/>
      <c r="AM235" s="45"/>
      <c r="AN235" s="45">
        <v>0.0</v>
      </c>
      <c r="AO235" s="55"/>
      <c r="AP235" s="54"/>
      <c r="AQ235" s="54"/>
      <c r="AR235" s="54"/>
      <c r="AS235" s="54"/>
      <c r="AT235" s="54"/>
    </row>
    <row r="236">
      <c r="A236" s="35" t="s">
        <v>1584</v>
      </c>
      <c r="B236" s="36" t="s">
        <v>1572</v>
      </c>
      <c r="C236" s="36" t="s">
        <v>1585</v>
      </c>
      <c r="D236" s="61" t="s">
        <v>1586</v>
      </c>
      <c r="E236" s="62" t="s">
        <v>1225</v>
      </c>
      <c r="F236" s="38"/>
      <c r="G236" s="61"/>
      <c r="H236" s="40"/>
      <c r="I236" s="40"/>
      <c r="J236" s="40" t="s">
        <v>1226</v>
      </c>
      <c r="K236" s="42" t="s">
        <v>1594</v>
      </c>
      <c r="L236" s="42" t="s">
        <v>74</v>
      </c>
      <c r="M236" s="41" t="s">
        <v>1590</v>
      </c>
      <c r="N236" s="43" t="s">
        <v>1579</v>
      </c>
      <c r="O236" s="44" t="s">
        <v>1580</v>
      </c>
      <c r="P236" s="45"/>
      <c r="Q236" s="45" t="s">
        <v>67</v>
      </c>
      <c r="R236" s="46">
        <v>1.0</v>
      </c>
      <c r="S236" s="45" t="s">
        <v>74</v>
      </c>
      <c r="T236" s="58" t="s">
        <v>1595</v>
      </c>
      <c r="U236" s="45" t="s">
        <v>74</v>
      </c>
      <c r="V236" s="45"/>
      <c r="W236" s="63" t="s">
        <v>154</v>
      </c>
      <c r="X236" s="49" t="s">
        <v>205</v>
      </c>
      <c r="Y236" s="49"/>
      <c r="Z236" s="40" t="s">
        <v>1583</v>
      </c>
      <c r="AA236" s="45" t="s">
        <v>74</v>
      </c>
      <c r="AB236" s="45" t="s">
        <v>67</v>
      </c>
      <c r="AC236" s="45"/>
      <c r="AD236" s="51" t="s">
        <v>76</v>
      </c>
      <c r="AE236" s="54"/>
      <c r="AF236" s="45"/>
      <c r="AG236" s="45"/>
      <c r="AH236" s="45">
        <v>0.0</v>
      </c>
      <c r="AI236" s="45"/>
      <c r="AJ236" s="45"/>
      <c r="AK236" s="45"/>
      <c r="AL236" s="45"/>
      <c r="AM236" s="45"/>
      <c r="AN236" s="45">
        <v>0.0</v>
      </c>
      <c r="AO236" s="55"/>
      <c r="AP236" s="54"/>
      <c r="AQ236" s="54"/>
      <c r="AR236" s="54"/>
      <c r="AS236" s="54"/>
      <c r="AT236" s="54"/>
    </row>
    <row r="237">
      <c r="A237" s="58" t="s">
        <v>1596</v>
      </c>
      <c r="B237" s="61" t="s">
        <v>1572</v>
      </c>
      <c r="C237" s="61" t="s">
        <v>1573</v>
      </c>
      <c r="D237" s="61" t="s">
        <v>1597</v>
      </c>
      <c r="E237" s="37" t="s">
        <v>1598</v>
      </c>
      <c r="F237" s="38" t="s">
        <v>1599</v>
      </c>
      <c r="G237" s="61">
        <v>9.93843399E8</v>
      </c>
      <c r="H237" s="40">
        <v>2619.0</v>
      </c>
      <c r="I237" s="40">
        <v>1141.0</v>
      </c>
      <c r="J237" s="40" t="s">
        <v>65</v>
      </c>
      <c r="K237" s="41" t="s">
        <v>1600</v>
      </c>
      <c r="L237" s="42" t="s">
        <v>67</v>
      </c>
      <c r="M237" s="42" t="s">
        <v>1578</v>
      </c>
      <c r="N237" s="43" t="s">
        <v>1579</v>
      </c>
      <c r="O237" s="44" t="s">
        <v>1580</v>
      </c>
      <c r="P237" s="45"/>
      <c r="Q237" s="45" t="s">
        <v>67</v>
      </c>
      <c r="R237" s="46">
        <v>2.0</v>
      </c>
      <c r="S237" s="45" t="s">
        <v>67</v>
      </c>
      <c r="T237" s="164" t="s">
        <v>1601</v>
      </c>
      <c r="U237" s="45" t="s">
        <v>74</v>
      </c>
      <c r="V237" s="45"/>
      <c r="W237" s="68">
        <v>46133.0</v>
      </c>
      <c r="X237" s="49" t="s">
        <v>1602</v>
      </c>
      <c r="Y237" s="49" t="s">
        <v>1603</v>
      </c>
      <c r="Z237" s="40" t="s">
        <v>1583</v>
      </c>
      <c r="AA237" s="45" t="s">
        <v>74</v>
      </c>
      <c r="AB237" s="45" t="s">
        <v>67</v>
      </c>
      <c r="AC237" s="45" t="s">
        <v>86</v>
      </c>
      <c r="AD237" s="51" t="s">
        <v>76</v>
      </c>
      <c r="AE237" s="54"/>
      <c r="AF237" s="45" t="s">
        <v>67</v>
      </c>
      <c r="AG237" s="45"/>
      <c r="AH237" s="45">
        <v>7.0</v>
      </c>
      <c r="AI237" s="45"/>
      <c r="AJ237" s="45"/>
      <c r="AK237" s="45"/>
      <c r="AL237" s="45"/>
      <c r="AM237" s="45"/>
      <c r="AN237" s="45">
        <v>0.0</v>
      </c>
      <c r="AO237" s="55"/>
      <c r="AP237" s="54"/>
      <c r="AQ237" s="54"/>
      <c r="AR237" s="54"/>
      <c r="AS237" s="54"/>
      <c r="AT237" s="54"/>
    </row>
    <row r="238">
      <c r="A238" s="58" t="s">
        <v>1604</v>
      </c>
      <c r="B238" s="61" t="s">
        <v>1572</v>
      </c>
      <c r="C238" s="61" t="s">
        <v>1572</v>
      </c>
      <c r="D238" s="61" t="s">
        <v>1605</v>
      </c>
      <c r="E238" s="37" t="s">
        <v>1606</v>
      </c>
      <c r="F238" s="38" t="s">
        <v>1607</v>
      </c>
      <c r="G238" s="61">
        <v>9.22226957E8</v>
      </c>
      <c r="H238" s="40">
        <v>2934.0</v>
      </c>
      <c r="I238" s="40">
        <v>991.0</v>
      </c>
      <c r="J238" s="40" t="s">
        <v>65</v>
      </c>
      <c r="K238" s="41" t="s">
        <v>1608</v>
      </c>
      <c r="L238" s="42" t="s">
        <v>67</v>
      </c>
      <c r="M238" s="41" t="s">
        <v>1590</v>
      </c>
      <c r="N238" s="43" t="s">
        <v>1579</v>
      </c>
      <c r="O238" s="44" t="s">
        <v>1580</v>
      </c>
      <c r="P238" s="45"/>
      <c r="Q238" s="45" t="s">
        <v>67</v>
      </c>
      <c r="R238" s="46">
        <v>1.0</v>
      </c>
      <c r="S238" s="45" t="s">
        <v>67</v>
      </c>
      <c r="T238" s="164" t="s">
        <v>1601</v>
      </c>
      <c r="U238" s="45" t="s">
        <v>74</v>
      </c>
      <c r="V238" s="45"/>
      <c r="W238" s="68">
        <v>46132.0</v>
      </c>
      <c r="X238" s="49" t="s">
        <v>1609</v>
      </c>
      <c r="Y238" s="49" t="s">
        <v>1610</v>
      </c>
      <c r="Z238" s="40" t="s">
        <v>1583</v>
      </c>
      <c r="AA238" s="45" t="s">
        <v>74</v>
      </c>
      <c r="AB238" s="45" t="s">
        <v>67</v>
      </c>
      <c r="AC238" s="45" t="s">
        <v>135</v>
      </c>
      <c r="AD238" s="51" t="s">
        <v>76</v>
      </c>
      <c r="AE238" s="54"/>
      <c r="AF238" s="45" t="s">
        <v>67</v>
      </c>
      <c r="AG238" s="45"/>
      <c r="AH238" s="45">
        <v>8.0</v>
      </c>
      <c r="AI238" s="45"/>
      <c r="AJ238" s="45"/>
      <c r="AK238" s="45"/>
      <c r="AL238" s="45"/>
      <c r="AM238" s="45"/>
      <c r="AN238" s="45">
        <v>0.0</v>
      </c>
      <c r="AO238" s="55"/>
      <c r="AP238" s="54"/>
      <c r="AQ238" s="54"/>
      <c r="AR238" s="54"/>
      <c r="AS238" s="54"/>
      <c r="AT238" s="54"/>
    </row>
    <row r="239">
      <c r="A239" s="58" t="s">
        <v>1604</v>
      </c>
      <c r="B239" s="61" t="s">
        <v>1572</v>
      </c>
      <c r="C239" s="61" t="s">
        <v>1572</v>
      </c>
      <c r="D239" s="61" t="s">
        <v>1605</v>
      </c>
      <c r="E239" s="37" t="s">
        <v>1611</v>
      </c>
      <c r="F239" s="38" t="s">
        <v>1612</v>
      </c>
      <c r="G239" s="61">
        <v>9.10241871E8</v>
      </c>
      <c r="H239" s="40">
        <v>2935.0</v>
      </c>
      <c r="I239" s="40">
        <v>992.0</v>
      </c>
      <c r="J239" s="40" t="s">
        <v>65</v>
      </c>
      <c r="K239" s="42" t="s">
        <v>1613</v>
      </c>
      <c r="L239" s="42" t="s">
        <v>67</v>
      </c>
      <c r="M239" s="41" t="s">
        <v>1590</v>
      </c>
      <c r="N239" s="43" t="s">
        <v>1579</v>
      </c>
      <c r="O239" s="44" t="s">
        <v>1580</v>
      </c>
      <c r="P239" s="45"/>
      <c r="Q239" s="45" t="s">
        <v>67</v>
      </c>
      <c r="R239" s="46">
        <v>1.0</v>
      </c>
      <c r="S239" s="45" t="s">
        <v>67</v>
      </c>
      <c r="T239" s="164" t="s">
        <v>1601</v>
      </c>
      <c r="U239" s="45" t="s">
        <v>74</v>
      </c>
      <c r="V239" s="45"/>
      <c r="W239" s="68">
        <v>46132.0</v>
      </c>
      <c r="X239" s="49" t="s">
        <v>1609</v>
      </c>
      <c r="Y239" s="49" t="s">
        <v>1610</v>
      </c>
      <c r="Z239" s="40" t="s">
        <v>1583</v>
      </c>
      <c r="AA239" s="45" t="s">
        <v>74</v>
      </c>
      <c r="AB239" s="45" t="s">
        <v>67</v>
      </c>
      <c r="AC239" s="45" t="s">
        <v>135</v>
      </c>
      <c r="AD239" s="51" t="s">
        <v>76</v>
      </c>
      <c r="AE239" s="54"/>
      <c r="AF239" s="45" t="s">
        <v>67</v>
      </c>
      <c r="AG239" s="45"/>
      <c r="AH239" s="45">
        <v>7.0</v>
      </c>
      <c r="AI239" s="45"/>
      <c r="AJ239" s="45"/>
      <c r="AK239" s="45"/>
      <c r="AL239" s="45"/>
      <c r="AM239" s="45"/>
      <c r="AN239" s="45">
        <v>0.0</v>
      </c>
      <c r="AO239" s="55"/>
      <c r="AP239" s="54"/>
      <c r="AQ239" s="54"/>
      <c r="AR239" s="54"/>
      <c r="AS239" s="54"/>
      <c r="AT239" s="54"/>
    </row>
    <row r="240">
      <c r="A240" s="58" t="s">
        <v>1614</v>
      </c>
      <c r="B240" s="61" t="s">
        <v>1615</v>
      </c>
      <c r="C240" s="61" t="s">
        <v>901</v>
      </c>
      <c r="D240" s="61" t="s">
        <v>1616</v>
      </c>
      <c r="E240" s="37" t="s">
        <v>1617</v>
      </c>
      <c r="F240" s="38" t="s">
        <v>1618</v>
      </c>
      <c r="G240" s="61">
        <v>9.81341196E8</v>
      </c>
      <c r="H240" s="40"/>
      <c r="I240" s="40"/>
      <c r="J240" s="40" t="s">
        <v>65</v>
      </c>
      <c r="K240" s="41" t="s">
        <v>1619</v>
      </c>
      <c r="L240" s="42" t="s">
        <v>67</v>
      </c>
      <c r="M240" s="41" t="s">
        <v>1620</v>
      </c>
      <c r="N240" s="43" t="s">
        <v>1621</v>
      </c>
      <c r="O240" s="59" t="s">
        <v>1622</v>
      </c>
      <c r="P240" s="45"/>
      <c r="Q240" s="45" t="s">
        <v>67</v>
      </c>
      <c r="R240" s="46">
        <v>1.0</v>
      </c>
      <c r="S240" s="45" t="s">
        <v>67</v>
      </c>
      <c r="T240" s="164" t="s">
        <v>1601</v>
      </c>
      <c r="U240" s="45" t="s">
        <v>74</v>
      </c>
      <c r="V240" s="45"/>
      <c r="W240" s="68">
        <v>46132.0</v>
      </c>
      <c r="X240" s="49" t="s">
        <v>1623</v>
      </c>
      <c r="Y240" s="49" t="s">
        <v>1260</v>
      </c>
      <c r="Z240" s="40" t="s">
        <v>1583</v>
      </c>
      <c r="AA240" s="45" t="s">
        <v>74</v>
      </c>
      <c r="AB240" s="45" t="s">
        <v>67</v>
      </c>
      <c r="AC240" s="45" t="s">
        <v>135</v>
      </c>
      <c r="AD240" s="51" t="s">
        <v>76</v>
      </c>
      <c r="AE240" s="54"/>
      <c r="AF240" s="45" t="s">
        <v>67</v>
      </c>
      <c r="AG240" s="45"/>
      <c r="AH240" s="45">
        <v>20.0</v>
      </c>
      <c r="AI240" s="45"/>
      <c r="AJ240" s="45"/>
      <c r="AK240" s="45"/>
      <c r="AL240" s="45"/>
      <c r="AM240" s="45"/>
      <c r="AN240" s="45">
        <v>0.0</v>
      </c>
      <c r="AO240" s="55"/>
      <c r="AP240" s="54"/>
      <c r="AQ240" s="54"/>
      <c r="AR240" s="54"/>
      <c r="AS240" s="54"/>
      <c r="AT240" s="54"/>
    </row>
    <row r="241">
      <c r="A241" s="58" t="s">
        <v>1624</v>
      </c>
      <c r="B241" s="61" t="s">
        <v>1615</v>
      </c>
      <c r="C241" s="61" t="s">
        <v>1625</v>
      </c>
      <c r="D241" s="61" t="s">
        <v>1626</v>
      </c>
      <c r="E241" s="37" t="s">
        <v>1627</v>
      </c>
      <c r="F241" s="38" t="s">
        <v>1628</v>
      </c>
      <c r="G241" s="61">
        <v>9.59430901E8</v>
      </c>
      <c r="H241" s="40"/>
      <c r="I241" s="40"/>
      <c r="J241" s="40" t="s">
        <v>65</v>
      </c>
      <c r="K241" s="41" t="s">
        <v>1629</v>
      </c>
      <c r="L241" s="42" t="s">
        <v>67</v>
      </c>
      <c r="M241" s="41" t="s">
        <v>1620</v>
      </c>
      <c r="N241" s="43" t="s">
        <v>1621</v>
      </c>
      <c r="O241" s="59" t="s">
        <v>1622</v>
      </c>
      <c r="P241" s="45"/>
      <c r="Q241" s="45" t="s">
        <v>67</v>
      </c>
      <c r="R241" s="46">
        <v>1.0</v>
      </c>
      <c r="S241" s="45" t="s">
        <v>67</v>
      </c>
      <c r="T241" s="164" t="s">
        <v>1601</v>
      </c>
      <c r="U241" s="45" t="s">
        <v>74</v>
      </c>
      <c r="V241" s="45"/>
      <c r="W241" s="68">
        <v>46133.0</v>
      </c>
      <c r="X241" s="49" t="s">
        <v>1630</v>
      </c>
      <c r="Y241" s="49" t="s">
        <v>1631</v>
      </c>
      <c r="Z241" s="40" t="s">
        <v>1583</v>
      </c>
      <c r="AA241" s="45" t="s">
        <v>67</v>
      </c>
      <c r="AB241" s="45" t="s">
        <v>67</v>
      </c>
      <c r="AC241" s="45" t="s">
        <v>620</v>
      </c>
      <c r="AD241" s="51" t="s">
        <v>76</v>
      </c>
      <c r="AE241" s="54"/>
      <c r="AF241" s="45" t="s">
        <v>67</v>
      </c>
      <c r="AG241" s="45"/>
      <c r="AH241" s="45">
        <v>22.0</v>
      </c>
      <c r="AI241" s="45"/>
      <c r="AJ241" s="45"/>
      <c r="AK241" s="45"/>
      <c r="AL241" s="45"/>
      <c r="AM241" s="45"/>
      <c r="AN241" s="45">
        <v>0.0</v>
      </c>
      <c r="AO241" s="55"/>
      <c r="AP241" s="54"/>
      <c r="AQ241" s="54"/>
      <c r="AR241" s="54"/>
      <c r="AS241" s="54"/>
      <c r="AT241" s="54"/>
    </row>
    <row r="242">
      <c r="A242" s="58" t="s">
        <v>1632</v>
      </c>
      <c r="B242" s="61" t="s">
        <v>1615</v>
      </c>
      <c r="C242" s="61" t="s">
        <v>1633</v>
      </c>
      <c r="D242" s="61" t="s">
        <v>1634</v>
      </c>
      <c r="E242" s="37" t="s">
        <v>1635</v>
      </c>
      <c r="F242" s="38" t="s">
        <v>1636</v>
      </c>
      <c r="G242" s="61">
        <v>9.21129589E8</v>
      </c>
      <c r="H242" s="40"/>
      <c r="I242" s="40"/>
      <c r="J242" s="40" t="s">
        <v>65</v>
      </c>
      <c r="K242" s="42" t="s">
        <v>1637</v>
      </c>
      <c r="L242" s="42" t="s">
        <v>67</v>
      </c>
      <c r="M242" s="41" t="s">
        <v>1620</v>
      </c>
      <c r="N242" s="43" t="s">
        <v>1621</v>
      </c>
      <c r="O242" s="59" t="s">
        <v>1622</v>
      </c>
      <c r="P242" s="45"/>
      <c r="Q242" s="45" t="s">
        <v>67</v>
      </c>
      <c r="R242" s="46">
        <v>1.0</v>
      </c>
      <c r="S242" s="45" t="s">
        <v>67</v>
      </c>
      <c r="T242" s="163" t="s">
        <v>1638</v>
      </c>
      <c r="U242" s="45" t="s">
        <v>74</v>
      </c>
      <c r="V242" s="45"/>
      <c r="W242" s="68">
        <v>46133.0</v>
      </c>
      <c r="X242" s="49" t="s">
        <v>1639</v>
      </c>
      <c r="Y242" s="49" t="s">
        <v>393</v>
      </c>
      <c r="Z242" s="40" t="s">
        <v>1583</v>
      </c>
      <c r="AA242" s="45" t="s">
        <v>74</v>
      </c>
      <c r="AB242" s="45" t="s">
        <v>67</v>
      </c>
      <c r="AC242" s="45" t="s">
        <v>135</v>
      </c>
      <c r="AD242" s="51" t="s">
        <v>76</v>
      </c>
      <c r="AE242" s="54"/>
      <c r="AF242" s="45" t="s">
        <v>67</v>
      </c>
      <c r="AG242" s="45"/>
      <c r="AH242" s="45">
        <v>11.0</v>
      </c>
      <c r="AI242" s="45"/>
      <c r="AJ242" s="45"/>
      <c r="AK242" s="45"/>
      <c r="AL242" s="45"/>
      <c r="AM242" s="45"/>
      <c r="AN242" s="45">
        <v>0.0</v>
      </c>
      <c r="AO242" s="55"/>
      <c r="AP242" s="54"/>
      <c r="AQ242" s="54"/>
      <c r="AR242" s="54"/>
      <c r="AS242" s="54"/>
      <c r="AT242" s="54"/>
    </row>
    <row r="243">
      <c r="A243" s="58" t="s">
        <v>1640</v>
      </c>
      <c r="B243" s="61" t="s">
        <v>1615</v>
      </c>
      <c r="C243" s="61" t="s">
        <v>1633</v>
      </c>
      <c r="D243" s="61" t="s">
        <v>1641</v>
      </c>
      <c r="E243" s="37" t="s">
        <v>1642</v>
      </c>
      <c r="F243" s="38" t="s">
        <v>1643</v>
      </c>
      <c r="G243" s="61">
        <v>9.33333468E8</v>
      </c>
      <c r="H243" s="40">
        <v>2725.0</v>
      </c>
      <c r="I243" s="40">
        <v>821.0</v>
      </c>
      <c r="J243" s="40" t="s">
        <v>65</v>
      </c>
      <c r="K243" s="41" t="s">
        <v>1644</v>
      </c>
      <c r="L243" s="42" t="s">
        <v>67</v>
      </c>
      <c r="M243" s="41" t="s">
        <v>1620</v>
      </c>
      <c r="N243" s="43" t="s">
        <v>1621</v>
      </c>
      <c r="O243" s="59" t="s">
        <v>1622</v>
      </c>
      <c r="P243" s="45"/>
      <c r="Q243" s="45" t="s">
        <v>67</v>
      </c>
      <c r="R243" s="46">
        <v>1.0</v>
      </c>
      <c r="S243" s="45" t="s">
        <v>67</v>
      </c>
      <c r="T243" s="164" t="s">
        <v>1601</v>
      </c>
      <c r="U243" s="45" t="s">
        <v>74</v>
      </c>
      <c r="V243" s="45"/>
      <c r="W243" s="68">
        <v>46133.0</v>
      </c>
      <c r="X243" s="49" t="s">
        <v>1645</v>
      </c>
      <c r="Y243" s="49"/>
      <c r="Z243" s="40" t="s">
        <v>1583</v>
      </c>
      <c r="AA243" s="45" t="s">
        <v>74</v>
      </c>
      <c r="AB243" s="45" t="s">
        <v>67</v>
      </c>
      <c r="AC243" s="45" t="s">
        <v>1646</v>
      </c>
      <c r="AD243" s="51" t="s">
        <v>76</v>
      </c>
      <c r="AE243" s="54"/>
      <c r="AF243" s="45" t="s">
        <v>67</v>
      </c>
      <c r="AG243" s="45"/>
      <c r="AH243" s="45">
        <v>20.0</v>
      </c>
      <c r="AI243" s="45"/>
      <c r="AJ243" s="45"/>
      <c r="AK243" s="45"/>
      <c r="AL243" s="45"/>
      <c r="AM243" s="45"/>
      <c r="AN243" s="45">
        <v>0.0</v>
      </c>
      <c r="AO243" s="55"/>
      <c r="AP243" s="54"/>
      <c r="AQ243" s="54"/>
      <c r="AR243" s="54"/>
      <c r="AS243" s="54"/>
      <c r="AT243" s="54"/>
    </row>
    <row r="244">
      <c r="A244" s="58" t="s">
        <v>1647</v>
      </c>
      <c r="B244" s="61" t="s">
        <v>1615</v>
      </c>
      <c r="C244" s="61" t="s">
        <v>901</v>
      </c>
      <c r="D244" s="61" t="s">
        <v>396</v>
      </c>
      <c r="E244" s="37" t="s">
        <v>1648</v>
      </c>
      <c r="F244" s="38" t="s">
        <v>1649</v>
      </c>
      <c r="G244" s="61">
        <v>9.89760283E8</v>
      </c>
      <c r="H244" s="40"/>
      <c r="I244" s="40"/>
      <c r="J244" s="40" t="s">
        <v>65</v>
      </c>
      <c r="K244" s="42" t="s">
        <v>1650</v>
      </c>
      <c r="L244" s="42" t="s">
        <v>67</v>
      </c>
      <c r="M244" s="41" t="s">
        <v>1620</v>
      </c>
      <c r="N244" s="43" t="s">
        <v>1621</v>
      </c>
      <c r="O244" s="59" t="s">
        <v>1622</v>
      </c>
      <c r="P244" s="45"/>
      <c r="Q244" s="45" t="s">
        <v>67</v>
      </c>
      <c r="R244" s="46">
        <v>1.0</v>
      </c>
      <c r="S244" s="45" t="s">
        <v>67</v>
      </c>
      <c r="T244" s="163" t="s">
        <v>1651</v>
      </c>
      <c r="U244" s="45" t="s">
        <v>74</v>
      </c>
      <c r="V244" s="45"/>
      <c r="W244" s="68">
        <v>46133.0</v>
      </c>
      <c r="X244" s="49" t="s">
        <v>1652</v>
      </c>
      <c r="Y244" s="49" t="s">
        <v>1653</v>
      </c>
      <c r="Z244" s="40" t="s">
        <v>1583</v>
      </c>
      <c r="AA244" s="45" t="s">
        <v>74</v>
      </c>
      <c r="AB244" s="45" t="s">
        <v>67</v>
      </c>
      <c r="AC244" s="45" t="s">
        <v>75</v>
      </c>
      <c r="AD244" s="51" t="s">
        <v>76</v>
      </c>
      <c r="AE244" s="54"/>
      <c r="AF244" s="45" t="s">
        <v>67</v>
      </c>
      <c r="AG244" s="45"/>
      <c r="AH244" s="45">
        <v>36.0</v>
      </c>
      <c r="AI244" s="45"/>
      <c r="AJ244" s="45"/>
      <c r="AK244" s="45"/>
      <c r="AL244" s="45"/>
      <c r="AM244" s="45"/>
      <c r="AN244" s="45">
        <v>0.0</v>
      </c>
      <c r="AO244" s="55"/>
      <c r="AP244" s="54"/>
      <c r="AQ244" s="54"/>
      <c r="AR244" s="54"/>
      <c r="AS244" s="54"/>
      <c r="AT244" s="54"/>
    </row>
    <row r="245">
      <c r="A245" s="58" t="s">
        <v>1654</v>
      </c>
      <c r="B245" s="61" t="s">
        <v>1615</v>
      </c>
      <c r="C245" s="61" t="s">
        <v>1633</v>
      </c>
      <c r="D245" s="61" t="s">
        <v>1655</v>
      </c>
      <c r="E245" s="37" t="s">
        <v>1656</v>
      </c>
      <c r="F245" s="38" t="s">
        <v>1657</v>
      </c>
      <c r="G245" s="61">
        <v>9.33334429E8</v>
      </c>
      <c r="H245" s="40"/>
      <c r="I245" s="40"/>
      <c r="J245" s="40" t="s">
        <v>65</v>
      </c>
      <c r="K245" s="41" t="s">
        <v>1658</v>
      </c>
      <c r="L245" s="42" t="s">
        <v>74</v>
      </c>
      <c r="M245" s="41" t="s">
        <v>1620</v>
      </c>
      <c r="N245" s="43" t="s">
        <v>1621</v>
      </c>
      <c r="O245" s="59" t="s">
        <v>1622</v>
      </c>
      <c r="P245" s="45"/>
      <c r="Q245" s="45" t="s">
        <v>67</v>
      </c>
      <c r="R245" s="46">
        <v>1.0</v>
      </c>
      <c r="S245" s="45" t="s">
        <v>67</v>
      </c>
      <c r="T245" s="164" t="s">
        <v>1601</v>
      </c>
      <c r="U245" s="45" t="s">
        <v>74</v>
      </c>
      <c r="V245" s="45"/>
      <c r="W245" s="68">
        <v>46133.0</v>
      </c>
      <c r="X245" s="49" t="s">
        <v>1659</v>
      </c>
      <c r="Y245" s="49"/>
      <c r="Z245" s="40" t="s">
        <v>1583</v>
      </c>
      <c r="AA245" s="45" t="s">
        <v>74</v>
      </c>
      <c r="AB245" s="45" t="s">
        <v>67</v>
      </c>
      <c r="AC245" s="45" t="s">
        <v>86</v>
      </c>
      <c r="AD245" s="51" t="s">
        <v>76</v>
      </c>
      <c r="AE245" s="54"/>
      <c r="AF245" s="45" t="s">
        <v>67</v>
      </c>
      <c r="AG245" s="45"/>
      <c r="AH245" s="45">
        <v>5.0</v>
      </c>
      <c r="AI245" s="45"/>
      <c r="AJ245" s="45"/>
      <c r="AK245" s="45"/>
      <c r="AL245" s="45"/>
      <c r="AM245" s="45"/>
      <c r="AN245" s="45">
        <v>0.0</v>
      </c>
      <c r="AO245" s="55"/>
      <c r="AP245" s="54"/>
      <c r="AQ245" s="54"/>
      <c r="AR245" s="54"/>
      <c r="AS245" s="54"/>
      <c r="AT245" s="54"/>
    </row>
    <row r="246">
      <c r="A246" s="58" t="s">
        <v>1660</v>
      </c>
      <c r="B246" s="61" t="s">
        <v>1615</v>
      </c>
      <c r="C246" s="61" t="s">
        <v>1661</v>
      </c>
      <c r="D246" s="61" t="s">
        <v>1662</v>
      </c>
      <c r="E246" s="37" t="s">
        <v>1663</v>
      </c>
      <c r="F246" s="38" t="s">
        <v>1664</v>
      </c>
      <c r="G246" s="61">
        <v>9.16496099E8</v>
      </c>
      <c r="H246" s="40">
        <v>2736.0</v>
      </c>
      <c r="I246" s="40">
        <v>833.0</v>
      </c>
      <c r="J246" s="40" t="s">
        <v>65</v>
      </c>
      <c r="K246" s="41" t="s">
        <v>1665</v>
      </c>
      <c r="L246" s="42" t="s">
        <v>67</v>
      </c>
      <c r="M246" s="41" t="s">
        <v>1620</v>
      </c>
      <c r="N246" s="43" t="s">
        <v>1621</v>
      </c>
      <c r="O246" s="44">
        <v>0.0</v>
      </c>
      <c r="P246" s="45" t="s">
        <v>67</v>
      </c>
      <c r="Q246" s="45" t="s">
        <v>67</v>
      </c>
      <c r="R246" s="46">
        <v>2.0</v>
      </c>
      <c r="S246" s="45" t="s">
        <v>67</v>
      </c>
      <c r="T246" s="164" t="s">
        <v>1601</v>
      </c>
      <c r="U246" s="45" t="s">
        <v>74</v>
      </c>
      <c r="V246" s="45"/>
      <c r="W246" s="68">
        <v>46133.0</v>
      </c>
      <c r="X246" s="49" t="s">
        <v>1666</v>
      </c>
      <c r="Y246" s="49"/>
      <c r="Z246" s="40" t="s">
        <v>1583</v>
      </c>
      <c r="AA246" s="45" t="s">
        <v>74</v>
      </c>
      <c r="AB246" s="45" t="s">
        <v>67</v>
      </c>
      <c r="AC246" s="45" t="s">
        <v>620</v>
      </c>
      <c r="AD246" s="51" t="s">
        <v>76</v>
      </c>
      <c r="AE246" s="54"/>
      <c r="AF246" s="45" t="s">
        <v>67</v>
      </c>
      <c r="AG246" s="45"/>
      <c r="AH246" s="45">
        <v>22.0</v>
      </c>
      <c r="AI246" s="45"/>
      <c r="AJ246" s="45"/>
      <c r="AK246" s="45"/>
      <c r="AL246" s="45"/>
      <c r="AM246" s="45"/>
      <c r="AN246" s="45">
        <v>0.0</v>
      </c>
      <c r="AO246" s="55"/>
      <c r="AP246" s="54"/>
      <c r="AQ246" s="54"/>
      <c r="AR246" s="54"/>
      <c r="AS246" s="54"/>
      <c r="AT246" s="54"/>
    </row>
    <row r="247">
      <c r="A247" s="58" t="s">
        <v>1660</v>
      </c>
      <c r="B247" s="61" t="s">
        <v>1615</v>
      </c>
      <c r="C247" s="61" t="s">
        <v>1661</v>
      </c>
      <c r="D247" s="61" t="s">
        <v>1662</v>
      </c>
      <c r="E247" s="37" t="s">
        <v>1667</v>
      </c>
      <c r="F247" s="38" t="s">
        <v>1668</v>
      </c>
      <c r="G247" s="61">
        <v>9.79430707E8</v>
      </c>
      <c r="H247" s="40">
        <v>3737.0</v>
      </c>
      <c r="I247" s="40">
        <v>834.0</v>
      </c>
      <c r="J247" s="40" t="s">
        <v>65</v>
      </c>
      <c r="K247" s="42" t="s">
        <v>1669</v>
      </c>
      <c r="L247" s="42" t="s">
        <v>67</v>
      </c>
      <c r="M247" s="41" t="s">
        <v>1620</v>
      </c>
      <c r="N247" s="43" t="s">
        <v>1621</v>
      </c>
      <c r="O247" s="44">
        <v>0.0</v>
      </c>
      <c r="P247" s="45" t="s">
        <v>67</v>
      </c>
      <c r="Q247" s="45" t="s">
        <v>67</v>
      </c>
      <c r="R247" s="46">
        <v>2.0</v>
      </c>
      <c r="S247" s="45" t="s">
        <v>67</v>
      </c>
      <c r="T247" s="164" t="s">
        <v>1601</v>
      </c>
      <c r="U247" s="45" t="s">
        <v>74</v>
      </c>
      <c r="V247" s="45"/>
      <c r="W247" s="68">
        <v>46133.0</v>
      </c>
      <c r="X247" s="49" t="s">
        <v>1666</v>
      </c>
      <c r="Y247" s="49"/>
      <c r="Z247" s="40" t="s">
        <v>1583</v>
      </c>
      <c r="AA247" s="45" t="s">
        <v>74</v>
      </c>
      <c r="AB247" s="45" t="s">
        <v>67</v>
      </c>
      <c r="AC247" s="45" t="s">
        <v>620</v>
      </c>
      <c r="AD247" s="51" t="s">
        <v>76</v>
      </c>
      <c r="AE247" s="54"/>
      <c r="AF247" s="45" t="s">
        <v>67</v>
      </c>
      <c r="AG247" s="45"/>
      <c r="AH247" s="45">
        <v>23.0</v>
      </c>
      <c r="AI247" s="45"/>
      <c r="AJ247" s="45"/>
      <c r="AK247" s="45"/>
      <c r="AL247" s="45"/>
      <c r="AM247" s="45"/>
      <c r="AN247" s="45">
        <v>0.0</v>
      </c>
      <c r="AO247" s="55"/>
      <c r="AP247" s="54"/>
      <c r="AQ247" s="54"/>
      <c r="AR247" s="54"/>
      <c r="AS247" s="54"/>
      <c r="AT247" s="54"/>
    </row>
    <row r="248">
      <c r="A248" s="58" t="s">
        <v>1670</v>
      </c>
      <c r="B248" s="61" t="s">
        <v>1615</v>
      </c>
      <c r="C248" s="61" t="s">
        <v>1671</v>
      </c>
      <c r="D248" s="61" t="s">
        <v>1672</v>
      </c>
      <c r="E248" s="37" t="s">
        <v>1673</v>
      </c>
      <c r="F248" s="38" t="s">
        <v>1674</v>
      </c>
      <c r="G248" s="61"/>
      <c r="H248" s="40"/>
      <c r="I248" s="40"/>
      <c r="J248" s="40" t="s">
        <v>224</v>
      </c>
      <c r="K248" s="41" t="s">
        <v>1675</v>
      </c>
      <c r="L248" s="42" t="s">
        <v>74</v>
      </c>
      <c r="M248" s="41" t="s">
        <v>1620</v>
      </c>
      <c r="N248" s="43" t="s">
        <v>1621</v>
      </c>
      <c r="O248" s="44">
        <v>0.0</v>
      </c>
      <c r="P248" s="45" t="s">
        <v>67</v>
      </c>
      <c r="Q248" s="45" t="s">
        <v>67</v>
      </c>
      <c r="R248" s="46">
        <v>2.0</v>
      </c>
      <c r="S248" s="45" t="s">
        <v>67</v>
      </c>
      <c r="T248" s="164" t="s">
        <v>1601</v>
      </c>
      <c r="U248" s="45" t="s">
        <v>74</v>
      </c>
      <c r="V248" s="45"/>
      <c r="W248" s="68">
        <v>46133.0</v>
      </c>
      <c r="X248" s="49" t="s">
        <v>1676</v>
      </c>
      <c r="Y248" s="49" t="s">
        <v>378</v>
      </c>
      <c r="Z248" s="40" t="s">
        <v>1583</v>
      </c>
      <c r="AA248" s="45" t="s">
        <v>74</v>
      </c>
      <c r="AB248" s="45" t="s">
        <v>67</v>
      </c>
      <c r="AC248" s="45" t="s">
        <v>1677</v>
      </c>
      <c r="AD248" s="51" t="s">
        <v>76</v>
      </c>
      <c r="AE248" s="54"/>
      <c r="AF248" s="45" t="s">
        <v>67</v>
      </c>
      <c r="AG248" s="45"/>
      <c r="AH248" s="45">
        <v>0.0</v>
      </c>
      <c r="AI248" s="45"/>
      <c r="AJ248" s="45"/>
      <c r="AK248" s="45"/>
      <c r="AL248" s="45"/>
      <c r="AM248" s="45"/>
      <c r="AN248" s="45">
        <v>0.0</v>
      </c>
      <c r="AO248" s="55"/>
      <c r="AP248" s="54"/>
      <c r="AQ248" s="54"/>
      <c r="AR248" s="54"/>
      <c r="AS248" s="54"/>
      <c r="AT248" s="54"/>
    </row>
    <row r="249">
      <c r="A249" s="58" t="s">
        <v>1678</v>
      </c>
      <c r="B249" s="61" t="s">
        <v>1615</v>
      </c>
      <c r="C249" s="61" t="s">
        <v>1615</v>
      </c>
      <c r="D249" s="61" t="s">
        <v>1615</v>
      </c>
      <c r="E249" s="37" t="s">
        <v>1679</v>
      </c>
      <c r="F249" s="38" t="s">
        <v>1680</v>
      </c>
      <c r="G249" s="61">
        <v>9.52995244E8</v>
      </c>
      <c r="H249" s="40"/>
      <c r="I249" s="40"/>
      <c r="J249" s="40" t="s">
        <v>65</v>
      </c>
      <c r="K249" s="41" t="s">
        <v>1681</v>
      </c>
      <c r="L249" s="42" t="s">
        <v>67</v>
      </c>
      <c r="M249" s="41" t="s">
        <v>1620</v>
      </c>
      <c r="N249" s="43" t="s">
        <v>1621</v>
      </c>
      <c r="O249" s="44">
        <v>0.0</v>
      </c>
      <c r="P249" s="45" t="s">
        <v>67</v>
      </c>
      <c r="Q249" s="45" t="s">
        <v>67</v>
      </c>
      <c r="R249" s="46">
        <v>2.0</v>
      </c>
      <c r="S249" s="45" t="s">
        <v>67</v>
      </c>
      <c r="T249" s="164" t="s">
        <v>1601</v>
      </c>
      <c r="U249" s="45" t="s">
        <v>74</v>
      </c>
      <c r="V249" s="45"/>
      <c r="W249" s="68">
        <v>46133.0</v>
      </c>
      <c r="X249" s="49" t="s">
        <v>1682</v>
      </c>
      <c r="Y249" s="49" t="s">
        <v>1260</v>
      </c>
      <c r="Z249" s="40" t="s">
        <v>1583</v>
      </c>
      <c r="AA249" s="45" t="s">
        <v>67</v>
      </c>
      <c r="AB249" s="45" t="s">
        <v>67</v>
      </c>
      <c r="AC249" s="45" t="s">
        <v>1683</v>
      </c>
      <c r="AD249" s="51" t="s">
        <v>76</v>
      </c>
      <c r="AE249" s="54"/>
      <c r="AF249" s="45" t="s">
        <v>67</v>
      </c>
      <c r="AG249" s="45"/>
      <c r="AH249" s="45">
        <v>68.0</v>
      </c>
      <c r="AI249" s="45"/>
      <c r="AJ249" s="45"/>
      <c r="AK249" s="45"/>
      <c r="AL249" s="45"/>
      <c r="AM249" s="45"/>
      <c r="AN249" s="45">
        <v>0.0</v>
      </c>
      <c r="AO249" s="55"/>
      <c r="AP249" s="54"/>
      <c r="AQ249" s="54"/>
      <c r="AR249" s="54"/>
      <c r="AS249" s="54"/>
      <c r="AT249" s="54"/>
    </row>
    <row r="250" ht="27.0" customHeight="1">
      <c r="A250" s="58" t="s">
        <v>1684</v>
      </c>
      <c r="B250" s="61" t="s">
        <v>1615</v>
      </c>
      <c r="C250" s="61" t="s">
        <v>1671</v>
      </c>
      <c r="D250" s="61" t="s">
        <v>1685</v>
      </c>
      <c r="E250" s="37" t="s">
        <v>1686</v>
      </c>
      <c r="F250" s="38" t="s">
        <v>1687</v>
      </c>
      <c r="G250" s="61">
        <v>9.73925626E8</v>
      </c>
      <c r="H250" s="40"/>
      <c r="I250" s="40"/>
      <c r="J250" s="40" t="s">
        <v>65</v>
      </c>
      <c r="K250" s="42" t="s">
        <v>1688</v>
      </c>
      <c r="L250" s="42" t="s">
        <v>67</v>
      </c>
      <c r="M250" s="41" t="s">
        <v>1620</v>
      </c>
      <c r="N250" s="43" t="s">
        <v>1621</v>
      </c>
      <c r="O250" s="44">
        <v>0.0</v>
      </c>
      <c r="P250" s="45" t="s">
        <v>67</v>
      </c>
      <c r="Q250" s="45" t="s">
        <v>67</v>
      </c>
      <c r="R250" s="46">
        <v>2.0</v>
      </c>
      <c r="S250" s="45" t="s">
        <v>67</v>
      </c>
      <c r="T250" s="164" t="s">
        <v>1601</v>
      </c>
      <c r="U250" s="45" t="s">
        <v>67</v>
      </c>
      <c r="V250" s="45"/>
      <c r="W250" s="68">
        <v>46133.0</v>
      </c>
      <c r="X250" s="49" t="s">
        <v>1689</v>
      </c>
      <c r="Y250" s="49" t="s">
        <v>666</v>
      </c>
      <c r="Z250" s="40" t="s">
        <v>1583</v>
      </c>
      <c r="AA250" s="45" t="s">
        <v>74</v>
      </c>
      <c r="AB250" s="45" t="s">
        <v>67</v>
      </c>
      <c r="AC250" s="45" t="s">
        <v>86</v>
      </c>
      <c r="AD250" s="51" t="s">
        <v>76</v>
      </c>
      <c r="AE250" s="54"/>
      <c r="AF250" s="45" t="s">
        <v>67</v>
      </c>
      <c r="AG250" s="45"/>
      <c r="AH250" s="45">
        <v>15.0</v>
      </c>
      <c r="AI250" s="45"/>
      <c r="AJ250" s="45"/>
      <c r="AK250" s="45"/>
      <c r="AL250" s="45"/>
      <c r="AM250" s="45"/>
      <c r="AN250" s="45">
        <v>0.0</v>
      </c>
      <c r="AO250" s="55"/>
      <c r="AP250" s="54"/>
      <c r="AQ250" s="54"/>
      <c r="AR250" s="54"/>
      <c r="AS250" s="54"/>
      <c r="AT250" s="54"/>
    </row>
    <row r="251">
      <c r="A251" s="58" t="s">
        <v>1684</v>
      </c>
      <c r="B251" s="61" t="s">
        <v>1615</v>
      </c>
      <c r="C251" s="61" t="s">
        <v>1671</v>
      </c>
      <c r="D251" s="61" t="s">
        <v>1685</v>
      </c>
      <c r="E251" s="37" t="s">
        <v>1690</v>
      </c>
      <c r="F251" s="38" t="s">
        <v>1691</v>
      </c>
      <c r="G251" s="61">
        <v>9.17478284E8</v>
      </c>
      <c r="H251" s="40"/>
      <c r="I251" s="40"/>
      <c r="J251" s="40" t="s">
        <v>65</v>
      </c>
      <c r="K251" s="41" t="s">
        <v>1692</v>
      </c>
      <c r="L251" s="42" t="s">
        <v>67</v>
      </c>
      <c r="M251" s="41" t="s">
        <v>1620</v>
      </c>
      <c r="N251" s="43" t="s">
        <v>1621</v>
      </c>
      <c r="O251" s="44">
        <v>0.0</v>
      </c>
      <c r="P251" s="45" t="s">
        <v>67</v>
      </c>
      <c r="Q251" s="45" t="s">
        <v>67</v>
      </c>
      <c r="R251" s="46">
        <v>2.0</v>
      </c>
      <c r="S251" s="45" t="s">
        <v>67</v>
      </c>
      <c r="T251" s="164" t="s">
        <v>1601</v>
      </c>
      <c r="U251" s="45" t="s">
        <v>67</v>
      </c>
      <c r="V251" s="45"/>
      <c r="W251" s="68">
        <v>46133.0</v>
      </c>
      <c r="X251" s="49" t="s">
        <v>1689</v>
      </c>
      <c r="Y251" s="49" t="s">
        <v>1693</v>
      </c>
      <c r="Z251" s="40" t="s">
        <v>1583</v>
      </c>
      <c r="AA251" s="45" t="s">
        <v>74</v>
      </c>
      <c r="AB251" s="45" t="s">
        <v>67</v>
      </c>
      <c r="AC251" s="45" t="s">
        <v>86</v>
      </c>
      <c r="AD251" s="51" t="s">
        <v>76</v>
      </c>
      <c r="AE251" s="54"/>
      <c r="AF251" s="45" t="s">
        <v>67</v>
      </c>
      <c r="AG251" s="45"/>
      <c r="AH251" s="45">
        <v>15.0</v>
      </c>
      <c r="AI251" s="45"/>
      <c r="AJ251" s="45"/>
      <c r="AK251" s="45"/>
      <c r="AL251" s="45"/>
      <c r="AM251" s="45"/>
      <c r="AN251" s="45">
        <v>0.0</v>
      </c>
      <c r="AO251" s="55"/>
      <c r="AP251" s="54"/>
      <c r="AQ251" s="54"/>
      <c r="AR251" s="54"/>
      <c r="AS251" s="54"/>
      <c r="AT251" s="54"/>
    </row>
    <row r="252">
      <c r="A252" s="58" t="s">
        <v>1694</v>
      </c>
      <c r="B252" s="61" t="s">
        <v>1615</v>
      </c>
      <c r="C252" s="61" t="s">
        <v>1671</v>
      </c>
      <c r="D252" s="61" t="s">
        <v>1695</v>
      </c>
      <c r="E252" s="37" t="s">
        <v>1696</v>
      </c>
      <c r="F252" s="38" t="s">
        <v>1697</v>
      </c>
      <c r="G252" s="61">
        <v>9.1090148E8</v>
      </c>
      <c r="H252" s="40">
        <v>2746.0</v>
      </c>
      <c r="I252" s="40">
        <v>843.0</v>
      </c>
      <c r="J252" s="40" t="s">
        <v>65</v>
      </c>
      <c r="K252" s="41" t="s">
        <v>1698</v>
      </c>
      <c r="L252" s="42" t="s">
        <v>67</v>
      </c>
      <c r="M252" s="41" t="s">
        <v>1620</v>
      </c>
      <c r="N252" s="43" t="s">
        <v>1621</v>
      </c>
      <c r="O252" s="44">
        <v>0.0</v>
      </c>
      <c r="P252" s="45" t="s">
        <v>67</v>
      </c>
      <c r="Q252" s="45" t="s">
        <v>67</v>
      </c>
      <c r="R252" s="46">
        <v>2.0</v>
      </c>
      <c r="S252" s="45" t="s">
        <v>67</v>
      </c>
      <c r="T252" s="163" t="s">
        <v>1638</v>
      </c>
      <c r="U252" s="45" t="s">
        <v>74</v>
      </c>
      <c r="V252" s="45"/>
      <c r="W252" s="68">
        <v>46134.0</v>
      </c>
      <c r="X252" s="49" t="s">
        <v>1699</v>
      </c>
      <c r="Y252" s="49"/>
      <c r="Z252" s="40" t="s">
        <v>1583</v>
      </c>
      <c r="AA252" s="45" t="s">
        <v>74</v>
      </c>
      <c r="AB252" s="45" t="s">
        <v>67</v>
      </c>
      <c r="AC252" s="45" t="s">
        <v>75</v>
      </c>
      <c r="AD252" s="51" t="s">
        <v>76</v>
      </c>
      <c r="AE252" s="54"/>
      <c r="AF252" s="45" t="s">
        <v>67</v>
      </c>
      <c r="AG252" s="45"/>
      <c r="AH252" s="45">
        <v>7.0</v>
      </c>
      <c r="AI252" s="45"/>
      <c r="AJ252" s="45"/>
      <c r="AK252" s="45"/>
      <c r="AL252" s="45"/>
      <c r="AM252" s="45"/>
      <c r="AN252" s="45">
        <v>0.0</v>
      </c>
      <c r="AO252" s="60"/>
      <c r="AP252" s="67" t="s">
        <v>1700</v>
      </c>
      <c r="AQ252" s="54"/>
      <c r="AR252" s="54"/>
      <c r="AS252" s="54"/>
      <c r="AT252" s="54"/>
    </row>
    <row r="253">
      <c r="A253" s="58" t="s">
        <v>1694</v>
      </c>
      <c r="B253" s="61" t="s">
        <v>1615</v>
      </c>
      <c r="C253" s="61" t="s">
        <v>1671</v>
      </c>
      <c r="D253" s="61" t="s">
        <v>1695</v>
      </c>
      <c r="E253" s="37" t="s">
        <v>1701</v>
      </c>
      <c r="F253" s="38" t="s">
        <v>1702</v>
      </c>
      <c r="G253" s="61">
        <v>9.80643309E8</v>
      </c>
      <c r="H253" s="40"/>
      <c r="I253" s="40"/>
      <c r="J253" s="40" t="s">
        <v>65</v>
      </c>
      <c r="K253" s="42" t="s">
        <v>1703</v>
      </c>
      <c r="L253" s="42" t="s">
        <v>67</v>
      </c>
      <c r="M253" s="41" t="s">
        <v>1620</v>
      </c>
      <c r="N253" s="43" t="s">
        <v>1621</v>
      </c>
      <c r="O253" s="44">
        <v>0.0</v>
      </c>
      <c r="P253" s="45" t="s">
        <v>67</v>
      </c>
      <c r="Q253" s="45" t="s">
        <v>67</v>
      </c>
      <c r="R253" s="46">
        <v>2.0</v>
      </c>
      <c r="S253" s="45" t="s">
        <v>67</v>
      </c>
      <c r="T253" s="163" t="s">
        <v>1638</v>
      </c>
      <c r="U253" s="45" t="s">
        <v>74</v>
      </c>
      <c r="V253" s="45"/>
      <c r="W253" s="68">
        <v>46134.0</v>
      </c>
      <c r="X253" s="49" t="s">
        <v>1699</v>
      </c>
      <c r="Y253" s="49"/>
      <c r="Z253" s="40" t="s">
        <v>1583</v>
      </c>
      <c r="AA253" s="45" t="s">
        <v>74</v>
      </c>
      <c r="AB253" s="45" t="s">
        <v>67</v>
      </c>
      <c r="AC253" s="45" t="s">
        <v>75</v>
      </c>
      <c r="AD253" s="51" t="s">
        <v>76</v>
      </c>
      <c r="AE253" s="54"/>
      <c r="AF253" s="45" t="s">
        <v>67</v>
      </c>
      <c r="AG253" s="45"/>
      <c r="AH253" s="45">
        <v>6.0</v>
      </c>
      <c r="AI253" s="45"/>
      <c r="AJ253" s="45"/>
      <c r="AK253" s="45"/>
      <c r="AL253" s="45"/>
      <c r="AM253" s="45"/>
      <c r="AN253" s="45">
        <v>0.0</v>
      </c>
      <c r="AO253" s="55"/>
      <c r="AP253" s="54"/>
      <c r="AQ253" s="54"/>
      <c r="AR253" s="54"/>
      <c r="AS253" s="54"/>
      <c r="AT253" s="54"/>
    </row>
    <row r="254">
      <c r="A254" s="58" t="s">
        <v>1704</v>
      </c>
      <c r="B254" s="61" t="s">
        <v>1615</v>
      </c>
      <c r="C254" s="61" t="s">
        <v>1625</v>
      </c>
      <c r="D254" s="61" t="s">
        <v>1705</v>
      </c>
      <c r="E254" s="37" t="s">
        <v>1706</v>
      </c>
      <c r="F254" s="38" t="s">
        <v>1707</v>
      </c>
      <c r="G254" s="61">
        <v>9.27054131E8</v>
      </c>
      <c r="H254" s="40"/>
      <c r="I254" s="40"/>
      <c r="J254" s="40" t="s">
        <v>65</v>
      </c>
      <c r="K254" s="41" t="s">
        <v>1708</v>
      </c>
      <c r="L254" s="42" t="s">
        <v>67</v>
      </c>
      <c r="M254" s="41" t="s">
        <v>1620</v>
      </c>
      <c r="N254" s="43" t="s">
        <v>1621</v>
      </c>
      <c r="O254" s="59" t="s">
        <v>1622</v>
      </c>
      <c r="P254" s="45"/>
      <c r="Q254" s="45" t="s">
        <v>67</v>
      </c>
      <c r="R254" s="46">
        <v>1.0</v>
      </c>
      <c r="S254" s="45" t="s">
        <v>67</v>
      </c>
      <c r="T254" s="164" t="s">
        <v>1601</v>
      </c>
      <c r="U254" s="45" t="s">
        <v>74</v>
      </c>
      <c r="V254" s="45"/>
      <c r="W254" s="68">
        <v>46133.0</v>
      </c>
      <c r="X254" s="49" t="s">
        <v>1699</v>
      </c>
      <c r="Y254" s="49"/>
      <c r="Z254" s="40" t="s">
        <v>1583</v>
      </c>
      <c r="AA254" s="45" t="s">
        <v>74</v>
      </c>
      <c r="AB254" s="45" t="s">
        <v>67</v>
      </c>
      <c r="AC254" s="45" t="s">
        <v>75</v>
      </c>
      <c r="AD254" s="51" t="s">
        <v>76</v>
      </c>
      <c r="AE254" s="54"/>
      <c r="AF254" s="45" t="s">
        <v>67</v>
      </c>
      <c r="AG254" s="45"/>
      <c r="AH254" s="45">
        <v>16.0</v>
      </c>
      <c r="AI254" s="45"/>
      <c r="AJ254" s="45"/>
      <c r="AK254" s="45"/>
      <c r="AL254" s="45"/>
      <c r="AM254" s="45"/>
      <c r="AN254" s="45">
        <v>0.0</v>
      </c>
      <c r="AO254" s="55"/>
      <c r="AP254" s="54"/>
      <c r="AQ254" s="54"/>
      <c r="AR254" s="54"/>
      <c r="AS254" s="54"/>
      <c r="AT254" s="54"/>
    </row>
    <row r="255">
      <c r="A255" s="58" t="s">
        <v>1709</v>
      </c>
      <c r="B255" s="61" t="s">
        <v>1615</v>
      </c>
      <c r="C255" s="61" t="s">
        <v>1625</v>
      </c>
      <c r="D255" s="61" t="s">
        <v>1710</v>
      </c>
      <c r="E255" s="37" t="s">
        <v>1711</v>
      </c>
      <c r="F255" s="38" t="s">
        <v>1712</v>
      </c>
      <c r="G255" s="61">
        <v>9.83724586E8</v>
      </c>
      <c r="H255" s="40"/>
      <c r="I255" s="40"/>
      <c r="J255" s="40" t="s">
        <v>65</v>
      </c>
      <c r="K255" s="42" t="s">
        <v>1713</v>
      </c>
      <c r="L255" s="42" t="s">
        <v>67</v>
      </c>
      <c r="M255" s="41" t="s">
        <v>1620</v>
      </c>
      <c r="N255" s="43" t="s">
        <v>1621</v>
      </c>
      <c r="O255" s="59" t="s">
        <v>1622</v>
      </c>
      <c r="P255" s="45"/>
      <c r="Q255" s="45" t="s">
        <v>67</v>
      </c>
      <c r="R255" s="46">
        <v>1.0</v>
      </c>
      <c r="S255" s="45" t="s">
        <v>67</v>
      </c>
      <c r="T255" s="164" t="s">
        <v>1601</v>
      </c>
      <c r="U255" s="45" t="s">
        <v>74</v>
      </c>
      <c r="V255" s="45"/>
      <c r="W255" s="68">
        <v>46133.0</v>
      </c>
      <c r="X255" s="49" t="s">
        <v>1714</v>
      </c>
      <c r="Y255" s="49" t="s">
        <v>1240</v>
      </c>
      <c r="Z255" s="40" t="s">
        <v>1583</v>
      </c>
      <c r="AA255" s="45" t="s">
        <v>74</v>
      </c>
      <c r="AB255" s="45" t="s">
        <v>67</v>
      </c>
      <c r="AC255" s="45" t="s">
        <v>1715</v>
      </c>
      <c r="AD255" s="51" t="s">
        <v>76</v>
      </c>
      <c r="AE255" s="54"/>
      <c r="AF255" s="45" t="s">
        <v>67</v>
      </c>
      <c r="AG255" s="45"/>
      <c r="AH255" s="45">
        <v>16.0</v>
      </c>
      <c r="AI255" s="45"/>
      <c r="AJ255" s="45"/>
      <c r="AK255" s="45"/>
      <c r="AL255" s="45"/>
      <c r="AM255" s="45"/>
      <c r="AN255" s="45">
        <v>0.0</v>
      </c>
      <c r="AO255" s="55"/>
      <c r="AP255" s="54"/>
      <c r="AQ255" s="54"/>
      <c r="AR255" s="54"/>
      <c r="AS255" s="54"/>
      <c r="AT255" s="54"/>
    </row>
    <row r="256">
      <c r="A256" s="58" t="s">
        <v>1716</v>
      </c>
      <c r="B256" s="61" t="s">
        <v>1615</v>
      </c>
      <c r="C256" s="61" t="s">
        <v>1625</v>
      </c>
      <c r="D256" s="61" t="s">
        <v>1717</v>
      </c>
      <c r="E256" s="37" t="s">
        <v>1718</v>
      </c>
      <c r="F256" s="38" t="s">
        <v>1719</v>
      </c>
      <c r="G256" s="61">
        <v>9.86887115E8</v>
      </c>
      <c r="H256" s="40"/>
      <c r="I256" s="40"/>
      <c r="J256" s="40" t="s">
        <v>65</v>
      </c>
      <c r="K256" s="41" t="s">
        <v>1720</v>
      </c>
      <c r="L256" s="42" t="s">
        <v>67</v>
      </c>
      <c r="M256" s="41" t="s">
        <v>1620</v>
      </c>
      <c r="N256" s="43" t="s">
        <v>1621</v>
      </c>
      <c r="O256" s="59" t="s">
        <v>1622</v>
      </c>
      <c r="P256" s="45"/>
      <c r="Q256" s="45" t="s">
        <v>67</v>
      </c>
      <c r="R256" s="46">
        <v>1.0</v>
      </c>
      <c r="S256" s="45" t="s">
        <v>67</v>
      </c>
      <c r="T256" s="164" t="s">
        <v>1601</v>
      </c>
      <c r="U256" s="45" t="s">
        <v>74</v>
      </c>
      <c r="V256" s="45"/>
      <c r="W256" s="68">
        <v>46133.0</v>
      </c>
      <c r="X256" s="49" t="s">
        <v>1699</v>
      </c>
      <c r="Y256" s="49" t="s">
        <v>1292</v>
      </c>
      <c r="Z256" s="40" t="s">
        <v>1583</v>
      </c>
      <c r="AA256" s="45" t="s">
        <v>74</v>
      </c>
      <c r="AB256" s="45" t="s">
        <v>67</v>
      </c>
      <c r="AC256" s="45" t="s">
        <v>1721</v>
      </c>
      <c r="AD256" s="51" t="s">
        <v>76</v>
      </c>
      <c r="AE256" s="54"/>
      <c r="AF256" s="45" t="s">
        <v>67</v>
      </c>
      <c r="AG256" s="45"/>
      <c r="AH256" s="45">
        <v>10.0</v>
      </c>
      <c r="AI256" s="45"/>
      <c r="AJ256" s="45"/>
      <c r="AK256" s="45"/>
      <c r="AL256" s="45"/>
      <c r="AM256" s="45"/>
      <c r="AN256" s="45">
        <v>0.0</v>
      </c>
      <c r="AO256" s="55"/>
      <c r="AP256" s="54"/>
      <c r="AQ256" s="54"/>
      <c r="AR256" s="54"/>
      <c r="AS256" s="54"/>
      <c r="AT256" s="54"/>
    </row>
    <row r="257">
      <c r="A257" s="58" t="s">
        <v>1722</v>
      </c>
      <c r="B257" s="61" t="s">
        <v>1615</v>
      </c>
      <c r="C257" s="61" t="s">
        <v>1615</v>
      </c>
      <c r="D257" s="61" t="s">
        <v>1723</v>
      </c>
      <c r="E257" s="37" t="s">
        <v>1724</v>
      </c>
      <c r="F257" s="38" t="s">
        <v>1725</v>
      </c>
      <c r="G257" s="61">
        <v>9.89630153E8</v>
      </c>
      <c r="H257" s="40"/>
      <c r="I257" s="40"/>
      <c r="J257" s="40" t="s">
        <v>65</v>
      </c>
      <c r="K257" s="41" t="s">
        <v>1726</v>
      </c>
      <c r="L257" s="42" t="s">
        <v>67</v>
      </c>
      <c r="M257" s="41" t="s">
        <v>1620</v>
      </c>
      <c r="N257" s="43" t="s">
        <v>1621</v>
      </c>
      <c r="O257" s="44">
        <v>0.0</v>
      </c>
      <c r="P257" s="45" t="s">
        <v>67</v>
      </c>
      <c r="Q257" s="45" t="s">
        <v>67</v>
      </c>
      <c r="R257" s="46">
        <v>2.0</v>
      </c>
      <c r="S257" s="45" t="s">
        <v>67</v>
      </c>
      <c r="T257" s="164" t="s">
        <v>1601</v>
      </c>
      <c r="U257" s="45" t="s">
        <v>74</v>
      </c>
      <c r="V257" s="45"/>
      <c r="W257" s="68">
        <v>46133.0</v>
      </c>
      <c r="X257" s="49" t="s">
        <v>1699</v>
      </c>
      <c r="Y257" s="49" t="s">
        <v>1240</v>
      </c>
      <c r="Z257" s="40" t="s">
        <v>1583</v>
      </c>
      <c r="AA257" s="45" t="s">
        <v>74</v>
      </c>
      <c r="AB257" s="45" t="s">
        <v>67</v>
      </c>
      <c r="AC257" s="45" t="s">
        <v>75</v>
      </c>
      <c r="AD257" s="51" t="s">
        <v>76</v>
      </c>
      <c r="AE257" s="54"/>
      <c r="AF257" s="45" t="s">
        <v>67</v>
      </c>
      <c r="AG257" s="45"/>
      <c r="AH257" s="45">
        <v>11.0</v>
      </c>
      <c r="AI257" s="45"/>
      <c r="AJ257" s="45"/>
      <c r="AK257" s="45"/>
      <c r="AL257" s="45"/>
      <c r="AM257" s="45"/>
      <c r="AN257" s="45">
        <v>0.0</v>
      </c>
      <c r="AO257" s="55"/>
      <c r="AP257" s="54"/>
      <c r="AQ257" s="54"/>
      <c r="AR257" s="54"/>
      <c r="AS257" s="54"/>
      <c r="AT257" s="54"/>
    </row>
    <row r="258">
      <c r="A258" s="58" t="s">
        <v>1727</v>
      </c>
      <c r="B258" s="61" t="s">
        <v>1615</v>
      </c>
      <c r="C258" s="61" t="s">
        <v>1671</v>
      </c>
      <c r="D258" s="61" t="s">
        <v>1728</v>
      </c>
      <c r="E258" s="37" t="s">
        <v>1729</v>
      </c>
      <c r="F258" s="38" t="s">
        <v>1730</v>
      </c>
      <c r="G258" s="61">
        <v>9.648608E8</v>
      </c>
      <c r="H258" s="40"/>
      <c r="I258" s="40"/>
      <c r="J258" s="40" t="s">
        <v>65</v>
      </c>
      <c r="K258" s="42" t="s">
        <v>1731</v>
      </c>
      <c r="L258" s="42" t="s">
        <v>67</v>
      </c>
      <c r="M258" s="41" t="s">
        <v>1620</v>
      </c>
      <c r="N258" s="43" t="s">
        <v>1621</v>
      </c>
      <c r="O258" s="44">
        <v>0.0</v>
      </c>
      <c r="P258" s="45" t="s">
        <v>67</v>
      </c>
      <c r="Q258" s="45" t="s">
        <v>67</v>
      </c>
      <c r="R258" s="46">
        <v>2.0</v>
      </c>
      <c r="S258" s="45" t="s">
        <v>67</v>
      </c>
      <c r="T258" s="164" t="s">
        <v>1601</v>
      </c>
      <c r="U258" s="45" t="s">
        <v>74</v>
      </c>
      <c r="V258" s="45"/>
      <c r="W258" s="68">
        <v>46133.0</v>
      </c>
      <c r="X258" s="49" t="s">
        <v>1732</v>
      </c>
      <c r="Y258" s="49" t="s">
        <v>1240</v>
      </c>
      <c r="Z258" s="40" t="s">
        <v>1583</v>
      </c>
      <c r="AA258" s="45" t="s">
        <v>74</v>
      </c>
      <c r="AB258" s="45" t="s">
        <v>67</v>
      </c>
      <c r="AC258" s="45" t="s">
        <v>620</v>
      </c>
      <c r="AD258" s="51" t="s">
        <v>76</v>
      </c>
      <c r="AE258" s="54"/>
      <c r="AF258" s="45" t="s">
        <v>67</v>
      </c>
      <c r="AG258" s="45"/>
      <c r="AH258" s="45">
        <v>21.0</v>
      </c>
      <c r="AI258" s="45"/>
      <c r="AJ258" s="45"/>
      <c r="AK258" s="45"/>
      <c r="AL258" s="45"/>
      <c r="AM258" s="45"/>
      <c r="AN258" s="45">
        <v>0.0</v>
      </c>
      <c r="AO258" s="55"/>
      <c r="AP258" s="54"/>
      <c r="AQ258" s="54"/>
      <c r="AR258" s="54"/>
      <c r="AS258" s="54"/>
      <c r="AT258" s="54"/>
    </row>
    <row r="259">
      <c r="A259" s="58" t="s">
        <v>1733</v>
      </c>
      <c r="B259" s="61" t="s">
        <v>1615</v>
      </c>
      <c r="C259" s="61" t="s">
        <v>1734</v>
      </c>
      <c r="D259" s="61" t="s">
        <v>1735</v>
      </c>
      <c r="E259" s="37" t="s">
        <v>1736</v>
      </c>
      <c r="F259" s="38" t="s">
        <v>1737</v>
      </c>
      <c r="G259" s="61">
        <v>9.16104066E8</v>
      </c>
      <c r="H259" s="40"/>
      <c r="I259" s="40"/>
      <c r="J259" s="40" t="s">
        <v>224</v>
      </c>
      <c r="K259" s="41" t="s">
        <v>1738</v>
      </c>
      <c r="L259" s="42" t="s">
        <v>67</v>
      </c>
      <c r="M259" s="41" t="s">
        <v>1620</v>
      </c>
      <c r="N259" s="43" t="s">
        <v>1621</v>
      </c>
      <c r="O259" s="59" t="s">
        <v>1622</v>
      </c>
      <c r="P259" s="45"/>
      <c r="Q259" s="45" t="s">
        <v>67</v>
      </c>
      <c r="R259" s="46">
        <v>2.0</v>
      </c>
      <c r="S259" s="45" t="s">
        <v>67</v>
      </c>
      <c r="T259" s="164" t="s">
        <v>1601</v>
      </c>
      <c r="U259" s="45" t="s">
        <v>74</v>
      </c>
      <c r="V259" s="45"/>
      <c r="W259" s="68">
        <v>46133.0</v>
      </c>
      <c r="X259" s="49" t="s">
        <v>1699</v>
      </c>
      <c r="Y259" s="49" t="s">
        <v>893</v>
      </c>
      <c r="Z259" s="40" t="s">
        <v>1583</v>
      </c>
      <c r="AA259" s="45" t="s">
        <v>74</v>
      </c>
      <c r="AB259" s="45" t="s">
        <v>67</v>
      </c>
      <c r="AC259" s="45" t="s">
        <v>75</v>
      </c>
      <c r="AD259" s="51" t="s">
        <v>76</v>
      </c>
      <c r="AE259" s="54"/>
      <c r="AF259" s="45" t="s">
        <v>67</v>
      </c>
      <c r="AG259" s="45"/>
      <c r="AH259" s="45">
        <v>20.0</v>
      </c>
      <c r="AI259" s="45"/>
      <c r="AJ259" s="45"/>
      <c r="AK259" s="45"/>
      <c r="AL259" s="45"/>
      <c r="AM259" s="45"/>
      <c r="AN259" s="45">
        <v>0.0</v>
      </c>
      <c r="AO259" s="55"/>
      <c r="AP259" s="54"/>
      <c r="AQ259" s="54"/>
      <c r="AR259" s="54"/>
      <c r="AS259" s="54"/>
      <c r="AT259" s="54"/>
    </row>
    <row r="260">
      <c r="A260" s="58" t="s">
        <v>1739</v>
      </c>
      <c r="B260" s="61" t="s">
        <v>1615</v>
      </c>
      <c r="C260" s="61" t="s">
        <v>1633</v>
      </c>
      <c r="D260" s="61" t="s">
        <v>1740</v>
      </c>
      <c r="E260" s="37" t="s">
        <v>1741</v>
      </c>
      <c r="F260" s="38" t="s">
        <v>1742</v>
      </c>
      <c r="G260" s="61">
        <v>9.63001692E8</v>
      </c>
      <c r="H260" s="40"/>
      <c r="I260" s="40"/>
      <c r="J260" s="40" t="s">
        <v>65</v>
      </c>
      <c r="K260" s="42" t="s">
        <v>1743</v>
      </c>
      <c r="L260" s="42" t="s">
        <v>67</v>
      </c>
      <c r="M260" s="41" t="s">
        <v>1620</v>
      </c>
      <c r="N260" s="43" t="s">
        <v>1621</v>
      </c>
      <c r="O260" s="59" t="s">
        <v>1622</v>
      </c>
      <c r="P260" s="45"/>
      <c r="Q260" s="45" t="s">
        <v>67</v>
      </c>
      <c r="R260" s="46">
        <v>1.0</v>
      </c>
      <c r="S260" s="45" t="s">
        <v>67</v>
      </c>
      <c r="T260" s="164" t="s">
        <v>1744</v>
      </c>
      <c r="U260" s="45" t="s">
        <v>74</v>
      </c>
      <c r="V260" s="45"/>
      <c r="W260" s="68">
        <v>46133.0</v>
      </c>
      <c r="X260" s="49" t="s">
        <v>1745</v>
      </c>
      <c r="Y260" s="49" t="s">
        <v>1746</v>
      </c>
      <c r="Z260" s="40" t="s">
        <v>1583</v>
      </c>
      <c r="AA260" s="45" t="s">
        <v>67</v>
      </c>
      <c r="AB260" s="45" t="s">
        <v>67</v>
      </c>
      <c r="AC260" s="45" t="s">
        <v>96</v>
      </c>
      <c r="AD260" s="51" t="s">
        <v>76</v>
      </c>
      <c r="AE260" s="54"/>
      <c r="AF260" s="45" t="s">
        <v>67</v>
      </c>
      <c r="AG260" s="45"/>
      <c r="AH260" s="45">
        <v>50.0</v>
      </c>
      <c r="AI260" s="45"/>
      <c r="AJ260" s="45"/>
      <c r="AK260" s="45"/>
      <c r="AL260" s="45"/>
      <c r="AM260" s="45"/>
      <c r="AN260" s="45">
        <v>0.0</v>
      </c>
      <c r="AO260" s="55"/>
      <c r="AP260" s="54"/>
      <c r="AQ260" s="54"/>
      <c r="AR260" s="54"/>
      <c r="AS260" s="54"/>
      <c r="AT260" s="54"/>
    </row>
    <row r="261">
      <c r="A261" s="58" t="s">
        <v>1747</v>
      </c>
      <c r="B261" s="61" t="s">
        <v>1615</v>
      </c>
      <c r="C261" s="61" t="s">
        <v>1625</v>
      </c>
      <c r="D261" s="61" t="s">
        <v>1748</v>
      </c>
      <c r="E261" s="37" t="s">
        <v>1749</v>
      </c>
      <c r="F261" s="38" t="s">
        <v>1750</v>
      </c>
      <c r="G261" s="61">
        <v>9.57341013E8</v>
      </c>
      <c r="H261" s="40"/>
      <c r="I261" s="40"/>
      <c r="J261" s="40" t="s">
        <v>65</v>
      </c>
      <c r="K261" s="41" t="s">
        <v>1751</v>
      </c>
      <c r="L261" s="42" t="s">
        <v>67</v>
      </c>
      <c r="M261" s="41" t="s">
        <v>1620</v>
      </c>
      <c r="N261" s="43" t="s">
        <v>1621</v>
      </c>
      <c r="O261" s="59" t="s">
        <v>1622</v>
      </c>
      <c r="P261" s="45"/>
      <c r="Q261" s="45" t="s">
        <v>67</v>
      </c>
      <c r="R261" s="46">
        <v>1.0</v>
      </c>
      <c r="S261" s="45" t="s">
        <v>67</v>
      </c>
      <c r="T261" s="163" t="s">
        <v>1752</v>
      </c>
      <c r="U261" s="45" t="s">
        <v>74</v>
      </c>
      <c r="V261" s="45"/>
      <c r="W261" s="68">
        <v>46133.0</v>
      </c>
      <c r="X261" s="49" t="s">
        <v>1753</v>
      </c>
      <c r="Y261" s="49"/>
      <c r="Z261" s="40" t="s">
        <v>1583</v>
      </c>
      <c r="AA261" s="45" t="s">
        <v>74</v>
      </c>
      <c r="AB261" s="45" t="s">
        <v>67</v>
      </c>
      <c r="AC261" s="45" t="s">
        <v>1754</v>
      </c>
      <c r="AD261" s="51" t="s">
        <v>76</v>
      </c>
      <c r="AE261" s="54"/>
      <c r="AF261" s="45" t="s">
        <v>67</v>
      </c>
      <c r="AG261" s="45"/>
      <c r="AH261" s="45">
        <v>6.0</v>
      </c>
      <c r="AI261" s="45"/>
      <c r="AJ261" s="45"/>
      <c r="AK261" s="45"/>
      <c r="AL261" s="45"/>
      <c r="AM261" s="45"/>
      <c r="AN261" s="45">
        <v>0.0</v>
      </c>
      <c r="AO261" s="55"/>
      <c r="AP261" s="54"/>
      <c r="AQ261" s="54"/>
      <c r="AR261" s="54"/>
      <c r="AS261" s="54"/>
      <c r="AT261" s="54"/>
    </row>
    <row r="262">
      <c r="A262" s="58" t="s">
        <v>1755</v>
      </c>
      <c r="B262" s="61" t="s">
        <v>1615</v>
      </c>
      <c r="C262" s="61" t="s">
        <v>1661</v>
      </c>
      <c r="D262" s="61" t="s">
        <v>1756</v>
      </c>
      <c r="E262" s="37" t="s">
        <v>1757</v>
      </c>
      <c r="F262" s="38" t="s">
        <v>1758</v>
      </c>
      <c r="G262" s="61">
        <v>9.90272909E8</v>
      </c>
      <c r="H262" s="40"/>
      <c r="I262" s="40"/>
      <c r="J262" s="40" t="s">
        <v>65</v>
      </c>
      <c r="K262" s="41" t="s">
        <v>1759</v>
      </c>
      <c r="L262" s="42" t="s">
        <v>67</v>
      </c>
      <c r="M262" s="41" t="s">
        <v>1620</v>
      </c>
      <c r="N262" s="43" t="s">
        <v>1621</v>
      </c>
      <c r="O262" s="44">
        <v>0.0</v>
      </c>
      <c r="P262" s="45" t="s">
        <v>67</v>
      </c>
      <c r="Q262" s="45" t="s">
        <v>67</v>
      </c>
      <c r="R262" s="46">
        <v>2.0</v>
      </c>
      <c r="S262" s="45" t="s">
        <v>67</v>
      </c>
      <c r="T262" s="164" t="s">
        <v>1601</v>
      </c>
      <c r="U262" s="45" t="s">
        <v>74</v>
      </c>
      <c r="V262" s="45"/>
      <c r="W262" s="68">
        <v>46133.0</v>
      </c>
      <c r="X262" s="49" t="s">
        <v>1760</v>
      </c>
      <c r="Y262" s="49"/>
      <c r="Z262" s="40" t="s">
        <v>1583</v>
      </c>
      <c r="AA262" s="45" t="s">
        <v>74</v>
      </c>
      <c r="AB262" s="45" t="s">
        <v>67</v>
      </c>
      <c r="AC262" s="45" t="s">
        <v>86</v>
      </c>
      <c r="AD262" s="51" t="s">
        <v>76</v>
      </c>
      <c r="AE262" s="54"/>
      <c r="AF262" s="45" t="s">
        <v>67</v>
      </c>
      <c r="AG262" s="45"/>
      <c r="AH262" s="45">
        <v>4.0</v>
      </c>
      <c r="AI262" s="45"/>
      <c r="AJ262" s="45"/>
      <c r="AK262" s="45"/>
      <c r="AL262" s="45"/>
      <c r="AM262" s="45"/>
      <c r="AN262" s="45">
        <v>0.0</v>
      </c>
      <c r="AO262" s="55"/>
      <c r="AP262" s="54"/>
      <c r="AQ262" s="54"/>
      <c r="AR262" s="54"/>
      <c r="AS262" s="54"/>
      <c r="AT262" s="54"/>
    </row>
    <row r="263">
      <c r="A263" s="58" t="s">
        <v>1761</v>
      </c>
      <c r="B263" s="61" t="s">
        <v>1615</v>
      </c>
      <c r="C263" s="61" t="s">
        <v>1671</v>
      </c>
      <c r="D263" s="61" t="s">
        <v>1762</v>
      </c>
      <c r="E263" s="37" t="s">
        <v>1763</v>
      </c>
      <c r="F263" s="38" t="s">
        <v>1764</v>
      </c>
      <c r="G263" s="61">
        <v>9.18166495E8</v>
      </c>
      <c r="H263" s="40"/>
      <c r="I263" s="40"/>
      <c r="J263" s="40" t="s">
        <v>65</v>
      </c>
      <c r="K263" s="42" t="s">
        <v>1765</v>
      </c>
      <c r="L263" s="42" t="s">
        <v>67</v>
      </c>
      <c r="M263" s="41" t="s">
        <v>1620</v>
      </c>
      <c r="N263" s="43" t="s">
        <v>1621</v>
      </c>
      <c r="O263" s="44">
        <v>0.0</v>
      </c>
      <c r="P263" s="45" t="s">
        <v>67</v>
      </c>
      <c r="Q263" s="45" t="s">
        <v>67</v>
      </c>
      <c r="R263" s="46">
        <v>2.0</v>
      </c>
      <c r="S263" s="45" t="s">
        <v>67</v>
      </c>
      <c r="T263" s="163" t="s">
        <v>1766</v>
      </c>
      <c r="U263" s="45" t="s">
        <v>74</v>
      </c>
      <c r="V263" s="45"/>
      <c r="W263" s="68">
        <v>46133.0</v>
      </c>
      <c r="X263" s="49" t="s">
        <v>1767</v>
      </c>
      <c r="Y263" s="49" t="s">
        <v>893</v>
      </c>
      <c r="Z263" s="40" t="s">
        <v>1583</v>
      </c>
      <c r="AA263" s="45" t="s">
        <v>74</v>
      </c>
      <c r="AB263" s="45" t="s">
        <v>67</v>
      </c>
      <c r="AC263" s="45" t="s">
        <v>1768</v>
      </c>
      <c r="AD263" s="51" t="s">
        <v>76</v>
      </c>
      <c r="AE263" s="54"/>
      <c r="AF263" s="45" t="s">
        <v>67</v>
      </c>
      <c r="AG263" s="45"/>
      <c r="AH263" s="45">
        <v>48.0</v>
      </c>
      <c r="AI263" s="45"/>
      <c r="AJ263" s="45"/>
      <c r="AK263" s="45"/>
      <c r="AL263" s="45"/>
      <c r="AM263" s="45"/>
      <c r="AN263" s="45">
        <v>0.0</v>
      </c>
      <c r="AO263" s="55"/>
      <c r="AP263" s="54"/>
      <c r="AQ263" s="54"/>
      <c r="AR263" s="54"/>
      <c r="AS263" s="54"/>
      <c r="AT263" s="54"/>
    </row>
    <row r="264">
      <c r="A264" s="58" t="s">
        <v>1769</v>
      </c>
      <c r="B264" s="61" t="s">
        <v>1615</v>
      </c>
      <c r="C264" s="61" t="s">
        <v>1671</v>
      </c>
      <c r="D264" s="61" t="s">
        <v>1770</v>
      </c>
      <c r="E264" s="37" t="s">
        <v>1771</v>
      </c>
      <c r="F264" s="38" t="s">
        <v>1772</v>
      </c>
      <c r="G264" s="61">
        <v>9.64862862E8</v>
      </c>
      <c r="H264" s="40"/>
      <c r="I264" s="40"/>
      <c r="J264" s="40" t="s">
        <v>65</v>
      </c>
      <c r="K264" s="41" t="s">
        <v>1773</v>
      </c>
      <c r="L264" s="42" t="s">
        <v>67</v>
      </c>
      <c r="M264" s="41" t="s">
        <v>1620</v>
      </c>
      <c r="N264" s="43" t="s">
        <v>1621</v>
      </c>
      <c r="O264" s="44">
        <v>0.0</v>
      </c>
      <c r="P264" s="45" t="s">
        <v>67</v>
      </c>
      <c r="Q264" s="45" t="s">
        <v>67</v>
      </c>
      <c r="R264" s="46">
        <v>2.0</v>
      </c>
      <c r="S264" s="45" t="s">
        <v>67</v>
      </c>
      <c r="T264" s="164" t="s">
        <v>1601</v>
      </c>
      <c r="U264" s="45" t="s">
        <v>74</v>
      </c>
      <c r="V264" s="45"/>
      <c r="W264" s="68">
        <v>46133.0</v>
      </c>
      <c r="X264" s="49" t="s">
        <v>1774</v>
      </c>
      <c r="Y264" s="49"/>
      <c r="Z264" s="40" t="s">
        <v>1583</v>
      </c>
      <c r="AA264" s="45" t="s">
        <v>74</v>
      </c>
      <c r="AB264" s="45" t="s">
        <v>67</v>
      </c>
      <c r="AC264" s="45" t="s">
        <v>1775</v>
      </c>
      <c r="AD264" s="51" t="s">
        <v>76</v>
      </c>
      <c r="AE264" s="54"/>
      <c r="AF264" s="45" t="s">
        <v>67</v>
      </c>
      <c r="AG264" s="45"/>
      <c r="AH264" s="45">
        <v>43.0</v>
      </c>
      <c r="AI264" s="45"/>
      <c r="AJ264" s="45"/>
      <c r="AK264" s="45"/>
      <c r="AL264" s="45"/>
      <c r="AM264" s="45"/>
      <c r="AN264" s="45">
        <v>0.0</v>
      </c>
      <c r="AO264" s="55"/>
      <c r="AP264" s="54"/>
      <c r="AQ264" s="54"/>
      <c r="AR264" s="54"/>
      <c r="AS264" s="54"/>
      <c r="AT264" s="54"/>
    </row>
    <row r="265">
      <c r="A265" s="58" t="s">
        <v>1776</v>
      </c>
      <c r="B265" s="61" t="s">
        <v>1615</v>
      </c>
      <c r="C265" s="61" t="s">
        <v>1615</v>
      </c>
      <c r="D265" s="61" t="s">
        <v>1777</v>
      </c>
      <c r="E265" s="37" t="s">
        <v>1778</v>
      </c>
      <c r="F265" s="38" t="s">
        <v>1779</v>
      </c>
      <c r="G265" s="61">
        <v>9.77422776E8</v>
      </c>
      <c r="H265" s="40"/>
      <c r="I265" s="40"/>
      <c r="J265" s="40" t="s">
        <v>65</v>
      </c>
      <c r="K265" s="41" t="s">
        <v>1780</v>
      </c>
      <c r="L265" s="42" t="s">
        <v>67</v>
      </c>
      <c r="M265" s="41" t="s">
        <v>1620</v>
      </c>
      <c r="N265" s="43" t="s">
        <v>1621</v>
      </c>
      <c r="O265" s="44">
        <v>0.0</v>
      </c>
      <c r="P265" s="45" t="s">
        <v>67</v>
      </c>
      <c r="Q265" s="45" t="s">
        <v>67</v>
      </c>
      <c r="R265" s="46">
        <v>2.0</v>
      </c>
      <c r="S265" s="45" t="s">
        <v>67</v>
      </c>
      <c r="T265" s="164" t="s">
        <v>1601</v>
      </c>
      <c r="U265" s="45" t="s">
        <v>74</v>
      </c>
      <c r="V265" s="45"/>
      <c r="W265" s="68">
        <v>46133.0</v>
      </c>
      <c r="X265" s="49" t="s">
        <v>1781</v>
      </c>
      <c r="Y265" s="49" t="s">
        <v>393</v>
      </c>
      <c r="Z265" s="40" t="s">
        <v>1583</v>
      </c>
      <c r="AA265" s="45" t="s">
        <v>74</v>
      </c>
      <c r="AB265" s="45" t="s">
        <v>67</v>
      </c>
      <c r="AC265" s="45" t="s">
        <v>1775</v>
      </c>
      <c r="AD265" s="51" t="s">
        <v>76</v>
      </c>
      <c r="AE265" s="54"/>
      <c r="AF265" s="45" t="s">
        <v>67</v>
      </c>
      <c r="AG265" s="45"/>
      <c r="AH265" s="45">
        <v>7.0</v>
      </c>
      <c r="AI265" s="45"/>
      <c r="AJ265" s="45"/>
      <c r="AK265" s="45"/>
      <c r="AL265" s="45"/>
      <c r="AM265" s="45"/>
      <c r="AN265" s="45">
        <v>0.0</v>
      </c>
      <c r="AO265" s="55"/>
      <c r="AP265" s="54"/>
      <c r="AQ265" s="54"/>
      <c r="AR265" s="54"/>
      <c r="AS265" s="54"/>
      <c r="AT265" s="54"/>
    </row>
    <row r="266">
      <c r="A266" s="58" t="s">
        <v>1782</v>
      </c>
      <c r="B266" s="61" t="s">
        <v>1615</v>
      </c>
      <c r="C266" s="61" t="s">
        <v>1625</v>
      </c>
      <c r="D266" s="61" t="s">
        <v>1671</v>
      </c>
      <c r="E266" s="37" t="s">
        <v>1783</v>
      </c>
      <c r="F266" s="38" t="s">
        <v>1784</v>
      </c>
      <c r="G266" s="61">
        <v>9.52824739E8</v>
      </c>
      <c r="H266" s="40"/>
      <c r="I266" s="40"/>
      <c r="J266" s="40" t="s">
        <v>65</v>
      </c>
      <c r="K266" s="42" t="s">
        <v>1785</v>
      </c>
      <c r="L266" s="42" t="s">
        <v>67</v>
      </c>
      <c r="M266" s="41" t="s">
        <v>1620</v>
      </c>
      <c r="N266" s="43" t="s">
        <v>1621</v>
      </c>
      <c r="O266" s="59" t="s">
        <v>1622</v>
      </c>
      <c r="P266" s="45"/>
      <c r="Q266" s="45" t="s">
        <v>67</v>
      </c>
      <c r="R266" s="46">
        <v>1.0</v>
      </c>
      <c r="S266" s="45" t="s">
        <v>67</v>
      </c>
      <c r="T266" s="163" t="s">
        <v>1786</v>
      </c>
      <c r="U266" s="45" t="s">
        <v>74</v>
      </c>
      <c r="V266" s="45"/>
      <c r="W266" s="68">
        <v>46133.0</v>
      </c>
      <c r="X266" s="49" t="s">
        <v>1699</v>
      </c>
      <c r="Y266" s="49" t="s">
        <v>893</v>
      </c>
      <c r="Z266" s="40" t="s">
        <v>1583</v>
      </c>
      <c r="AA266" s="45" t="s">
        <v>74</v>
      </c>
      <c r="AB266" s="45" t="s">
        <v>67</v>
      </c>
      <c r="AC266" s="45" t="s">
        <v>75</v>
      </c>
      <c r="AD266" s="51" t="s">
        <v>76</v>
      </c>
      <c r="AE266" s="54"/>
      <c r="AF266" s="45" t="s">
        <v>67</v>
      </c>
      <c r="AG266" s="45"/>
      <c r="AH266" s="45">
        <v>3.0</v>
      </c>
      <c r="AI266" s="45"/>
      <c r="AJ266" s="45"/>
      <c r="AK266" s="45"/>
      <c r="AL266" s="45"/>
      <c r="AM266" s="45"/>
      <c r="AN266" s="45">
        <v>0.0</v>
      </c>
      <c r="AO266" s="55"/>
      <c r="AP266" s="54"/>
      <c r="AQ266" s="54"/>
      <c r="AR266" s="54"/>
      <c r="AS266" s="54"/>
      <c r="AT266" s="54"/>
    </row>
    <row r="267">
      <c r="A267" s="35" t="s">
        <v>1787</v>
      </c>
      <c r="B267" s="36" t="s">
        <v>1788</v>
      </c>
      <c r="C267" s="36" t="s">
        <v>1789</v>
      </c>
      <c r="D267" s="36" t="s">
        <v>1790</v>
      </c>
      <c r="E267" s="62" t="s">
        <v>1791</v>
      </c>
      <c r="F267" s="38" t="s">
        <v>1792</v>
      </c>
      <c r="G267" s="61">
        <v>9.47878758E8</v>
      </c>
      <c r="H267" s="40">
        <v>2575.0</v>
      </c>
      <c r="I267" s="40">
        <v>743.0</v>
      </c>
      <c r="J267" s="40" t="s">
        <v>65</v>
      </c>
      <c r="K267" s="41" t="s">
        <v>1793</v>
      </c>
      <c r="L267" s="42" t="s">
        <v>67</v>
      </c>
      <c r="M267" s="41" t="s">
        <v>1794</v>
      </c>
      <c r="N267" s="43" t="s">
        <v>1795</v>
      </c>
      <c r="O267" s="41">
        <v>0.0</v>
      </c>
      <c r="P267" s="45"/>
      <c r="Q267" s="45" t="s">
        <v>67</v>
      </c>
      <c r="R267" s="46">
        <v>1.0</v>
      </c>
      <c r="S267" s="45" t="s">
        <v>67</v>
      </c>
      <c r="T267" s="58" t="s">
        <v>1601</v>
      </c>
      <c r="U267" s="45" t="s">
        <v>67</v>
      </c>
      <c r="V267" s="45"/>
      <c r="W267" s="68">
        <v>46133.0</v>
      </c>
      <c r="X267" s="49" t="s">
        <v>205</v>
      </c>
      <c r="Y267" s="49" t="s">
        <v>1192</v>
      </c>
      <c r="Z267" s="40" t="s">
        <v>1796</v>
      </c>
      <c r="AA267" s="45" t="s">
        <v>74</v>
      </c>
      <c r="AB267" s="45" t="s">
        <v>67</v>
      </c>
      <c r="AC267" s="45" t="s">
        <v>86</v>
      </c>
      <c r="AD267" s="51" t="s">
        <v>76</v>
      </c>
      <c r="AE267" s="54"/>
      <c r="AF267" s="45" t="s">
        <v>67</v>
      </c>
      <c r="AG267" s="45"/>
      <c r="AH267" s="45">
        <v>20.0</v>
      </c>
      <c r="AI267" s="45">
        <v>24.0</v>
      </c>
      <c r="AJ267" s="45"/>
      <c r="AK267" s="45"/>
      <c r="AL267" s="45"/>
      <c r="AM267" s="45"/>
      <c r="AN267" s="45">
        <v>0.0</v>
      </c>
      <c r="AO267" s="55"/>
      <c r="AP267" s="54"/>
      <c r="AQ267" s="54"/>
      <c r="AR267" s="54"/>
      <c r="AS267" s="54"/>
      <c r="AT267" s="54"/>
    </row>
    <row r="268">
      <c r="A268" s="35" t="s">
        <v>1797</v>
      </c>
      <c r="B268" s="36" t="s">
        <v>1788</v>
      </c>
      <c r="C268" s="36" t="s">
        <v>1798</v>
      </c>
      <c r="D268" s="36" t="s">
        <v>1799</v>
      </c>
      <c r="E268" s="62" t="s">
        <v>1800</v>
      </c>
      <c r="F268" s="38" t="s">
        <v>1801</v>
      </c>
      <c r="G268" s="61">
        <v>9.12063992E8</v>
      </c>
      <c r="H268" s="40">
        <v>2577.0</v>
      </c>
      <c r="I268" s="40">
        <v>741.0</v>
      </c>
      <c r="J268" s="40" t="s">
        <v>65</v>
      </c>
      <c r="K268" s="42" t="s">
        <v>1802</v>
      </c>
      <c r="L268" s="42" t="s">
        <v>67</v>
      </c>
      <c r="M268" s="53" t="s">
        <v>1803</v>
      </c>
      <c r="N268" s="58" t="s">
        <v>1804</v>
      </c>
      <c r="O268" s="44">
        <v>0.0</v>
      </c>
      <c r="P268" s="45" t="s">
        <v>67</v>
      </c>
      <c r="Q268" s="45" t="s">
        <v>67</v>
      </c>
      <c r="R268" s="46">
        <v>3.0</v>
      </c>
      <c r="S268" s="45" t="s">
        <v>67</v>
      </c>
      <c r="T268" s="64"/>
      <c r="U268" s="45" t="s">
        <v>67</v>
      </c>
      <c r="V268" s="45"/>
      <c r="W268" s="68">
        <v>46133.0</v>
      </c>
      <c r="X268" s="49" t="s">
        <v>205</v>
      </c>
      <c r="Y268" s="49" t="s">
        <v>1192</v>
      </c>
      <c r="Z268" s="40" t="s">
        <v>1796</v>
      </c>
      <c r="AA268" s="45" t="s">
        <v>74</v>
      </c>
      <c r="AB268" s="45" t="s">
        <v>67</v>
      </c>
      <c r="AC268" s="45" t="s">
        <v>195</v>
      </c>
      <c r="AD268" s="51" t="s">
        <v>76</v>
      </c>
      <c r="AE268" s="54"/>
      <c r="AF268" s="45" t="s">
        <v>67</v>
      </c>
      <c r="AG268" s="45"/>
      <c r="AH268" s="45">
        <v>27.0</v>
      </c>
      <c r="AI268" s="45">
        <v>30.0</v>
      </c>
      <c r="AJ268" s="45"/>
      <c r="AK268" s="45"/>
      <c r="AL268" s="45"/>
      <c r="AM268" s="45"/>
      <c r="AN268" s="45">
        <v>0.0</v>
      </c>
      <c r="AO268" s="55"/>
      <c r="AP268" s="54"/>
      <c r="AQ268" s="54"/>
      <c r="AR268" s="54"/>
      <c r="AS268" s="54"/>
      <c r="AT268" s="54"/>
    </row>
    <row r="269">
      <c r="A269" s="35" t="s">
        <v>1797</v>
      </c>
      <c r="B269" s="36" t="s">
        <v>1788</v>
      </c>
      <c r="C269" s="36" t="s">
        <v>1798</v>
      </c>
      <c r="D269" s="36" t="s">
        <v>1799</v>
      </c>
      <c r="E269" s="62" t="s">
        <v>1805</v>
      </c>
      <c r="F269" s="38" t="s">
        <v>1806</v>
      </c>
      <c r="G269" s="61" t="s">
        <v>1807</v>
      </c>
      <c r="H269" s="40">
        <v>2576.0</v>
      </c>
      <c r="I269" s="40">
        <v>742.0</v>
      </c>
      <c r="J269" s="40" t="s">
        <v>65</v>
      </c>
      <c r="K269" s="41" t="s">
        <v>1808</v>
      </c>
      <c r="L269" s="42" t="s">
        <v>67</v>
      </c>
      <c r="M269" s="53" t="s">
        <v>1803</v>
      </c>
      <c r="N269" s="58" t="s">
        <v>1804</v>
      </c>
      <c r="O269" s="44">
        <v>0.0</v>
      </c>
      <c r="P269" s="45" t="s">
        <v>67</v>
      </c>
      <c r="Q269" s="45" t="s">
        <v>67</v>
      </c>
      <c r="R269" s="46">
        <v>3.0</v>
      </c>
      <c r="S269" s="45" t="s">
        <v>67</v>
      </c>
      <c r="T269" s="64"/>
      <c r="U269" s="45" t="s">
        <v>67</v>
      </c>
      <c r="V269" s="45"/>
      <c r="W269" s="68">
        <v>46133.0</v>
      </c>
      <c r="X269" s="49" t="s">
        <v>205</v>
      </c>
      <c r="Y269" s="49" t="s">
        <v>1192</v>
      </c>
      <c r="Z269" s="40" t="s">
        <v>1796</v>
      </c>
      <c r="AA269" s="45" t="s">
        <v>74</v>
      </c>
      <c r="AB269" s="45" t="s">
        <v>67</v>
      </c>
      <c r="AC269" s="45" t="s">
        <v>195</v>
      </c>
      <c r="AD269" s="51" t="s">
        <v>76</v>
      </c>
      <c r="AE269" s="54"/>
      <c r="AF269" s="45" t="s">
        <v>67</v>
      </c>
      <c r="AG269" s="45"/>
      <c r="AH269" s="45">
        <v>0.0</v>
      </c>
      <c r="AI269" s="45"/>
      <c r="AJ269" s="45"/>
      <c r="AK269" s="45"/>
      <c r="AL269" s="45"/>
      <c r="AM269" s="45"/>
      <c r="AN269" s="45">
        <v>0.0</v>
      </c>
      <c r="AO269" s="55"/>
      <c r="AP269" s="54"/>
      <c r="AQ269" s="54"/>
      <c r="AR269" s="54"/>
      <c r="AS269" s="54"/>
      <c r="AT269" s="54"/>
    </row>
    <row r="270">
      <c r="A270" s="35" t="s">
        <v>1809</v>
      </c>
      <c r="B270" s="36" t="s">
        <v>1788</v>
      </c>
      <c r="C270" s="36" t="s">
        <v>1810</v>
      </c>
      <c r="D270" s="36" t="s">
        <v>1811</v>
      </c>
      <c r="E270" s="62" t="s">
        <v>1812</v>
      </c>
      <c r="F270" s="38" t="s">
        <v>1813</v>
      </c>
      <c r="G270" s="61">
        <v>9.42353019E8</v>
      </c>
      <c r="H270" s="40">
        <v>2573.0</v>
      </c>
      <c r="I270" s="40">
        <v>745.0</v>
      </c>
      <c r="J270" s="40" t="s">
        <v>65</v>
      </c>
      <c r="K270" s="41" t="s">
        <v>1814</v>
      </c>
      <c r="L270" s="42" t="s">
        <v>67</v>
      </c>
      <c r="M270" s="53" t="s">
        <v>1815</v>
      </c>
      <c r="N270" s="58" t="s">
        <v>1816</v>
      </c>
      <c r="O270" s="44">
        <v>0.0</v>
      </c>
      <c r="P270" s="45" t="s">
        <v>67</v>
      </c>
      <c r="Q270" s="45" t="s">
        <v>67</v>
      </c>
      <c r="R270" s="46">
        <v>3.0</v>
      </c>
      <c r="S270" s="45" t="s">
        <v>67</v>
      </c>
      <c r="T270" s="64"/>
      <c r="U270" s="45" t="s">
        <v>67</v>
      </c>
      <c r="V270" s="45"/>
      <c r="W270" s="63" t="s">
        <v>1817</v>
      </c>
      <c r="X270" s="49" t="s">
        <v>205</v>
      </c>
      <c r="Y270" s="49" t="s">
        <v>1192</v>
      </c>
      <c r="Z270" s="40" t="s">
        <v>1796</v>
      </c>
      <c r="AA270" s="45" t="s">
        <v>74</v>
      </c>
      <c r="AB270" s="45" t="s">
        <v>67</v>
      </c>
      <c r="AC270" s="45" t="s">
        <v>86</v>
      </c>
      <c r="AD270" s="51" t="s">
        <v>76</v>
      </c>
      <c r="AE270" s="54"/>
      <c r="AF270" s="45" t="s">
        <v>67</v>
      </c>
      <c r="AG270" s="45"/>
      <c r="AH270" s="45">
        <v>30.0</v>
      </c>
      <c r="AI270" s="45">
        <v>7.0</v>
      </c>
      <c r="AJ270" s="45"/>
      <c r="AK270" s="45"/>
      <c r="AL270" s="45"/>
      <c r="AM270" s="45"/>
      <c r="AN270" s="45">
        <v>0.0</v>
      </c>
      <c r="AO270" s="55"/>
      <c r="AP270" s="54"/>
      <c r="AQ270" s="54"/>
      <c r="AR270" s="54"/>
      <c r="AS270" s="54"/>
      <c r="AT270" s="54"/>
    </row>
    <row r="271">
      <c r="A271" s="35" t="s">
        <v>1809</v>
      </c>
      <c r="B271" s="36" t="s">
        <v>1788</v>
      </c>
      <c r="C271" s="36" t="s">
        <v>1810</v>
      </c>
      <c r="D271" s="36" t="s">
        <v>1811</v>
      </c>
      <c r="E271" s="62" t="s">
        <v>1818</v>
      </c>
      <c r="F271" s="38" t="s">
        <v>1819</v>
      </c>
      <c r="G271" s="61">
        <v>9.2039342E8</v>
      </c>
      <c r="H271" s="40">
        <v>2999.0</v>
      </c>
      <c r="I271" s="40">
        <v>1064.0</v>
      </c>
      <c r="J271" s="40" t="s">
        <v>65</v>
      </c>
      <c r="K271" s="42" t="s">
        <v>1820</v>
      </c>
      <c r="L271" s="42" t="s">
        <v>67</v>
      </c>
      <c r="M271" s="53" t="s">
        <v>1815</v>
      </c>
      <c r="N271" s="58" t="s">
        <v>1816</v>
      </c>
      <c r="O271" s="44">
        <v>0.0</v>
      </c>
      <c r="P271" s="45" t="s">
        <v>67</v>
      </c>
      <c r="Q271" s="45" t="s">
        <v>67</v>
      </c>
      <c r="R271" s="46">
        <v>3.0</v>
      </c>
      <c r="S271" s="45" t="s">
        <v>67</v>
      </c>
      <c r="T271" s="64"/>
      <c r="U271" s="45" t="s">
        <v>67</v>
      </c>
      <c r="V271" s="45"/>
      <c r="W271" s="68">
        <v>46133.0</v>
      </c>
      <c r="X271" s="49" t="s">
        <v>205</v>
      </c>
      <c r="Y271" s="49" t="s">
        <v>1192</v>
      </c>
      <c r="Z271" s="40" t="s">
        <v>1796</v>
      </c>
      <c r="AA271" s="45" t="s">
        <v>74</v>
      </c>
      <c r="AB271" s="45" t="s">
        <v>67</v>
      </c>
      <c r="AC271" s="45" t="s">
        <v>86</v>
      </c>
      <c r="AD271" s="51" t="s">
        <v>76</v>
      </c>
      <c r="AE271" s="54"/>
      <c r="AF271" s="45" t="s">
        <v>67</v>
      </c>
      <c r="AG271" s="45"/>
      <c r="AH271" s="45">
        <v>0.0</v>
      </c>
      <c r="AI271" s="45"/>
      <c r="AJ271" s="45"/>
      <c r="AK271" s="45"/>
      <c r="AL271" s="45"/>
      <c r="AM271" s="45"/>
      <c r="AN271" s="45">
        <v>0.0</v>
      </c>
      <c r="AO271" s="55"/>
      <c r="AP271" s="54"/>
      <c r="AQ271" s="54"/>
      <c r="AR271" s="54"/>
      <c r="AS271" s="54"/>
      <c r="AT271" s="54"/>
    </row>
    <row r="272">
      <c r="A272" s="35" t="s">
        <v>1821</v>
      </c>
      <c r="B272" s="36" t="s">
        <v>1788</v>
      </c>
      <c r="C272" s="36" t="s">
        <v>1789</v>
      </c>
      <c r="D272" s="36" t="s">
        <v>1822</v>
      </c>
      <c r="E272" s="62" t="s">
        <v>1823</v>
      </c>
      <c r="F272" s="38" t="s">
        <v>1824</v>
      </c>
      <c r="G272" s="61">
        <v>9.26273176E8</v>
      </c>
      <c r="H272" s="40">
        <v>2574.0</v>
      </c>
      <c r="I272" s="40">
        <v>744.0</v>
      </c>
      <c r="J272" s="40" t="s">
        <v>65</v>
      </c>
      <c r="K272" s="41" t="s">
        <v>1825</v>
      </c>
      <c r="L272" s="42" t="s">
        <v>74</v>
      </c>
      <c r="M272" s="41" t="s">
        <v>1826</v>
      </c>
      <c r="N272" s="58" t="s">
        <v>1827</v>
      </c>
      <c r="O272" s="59" t="s">
        <v>1828</v>
      </c>
      <c r="P272" s="45"/>
      <c r="Q272" s="45" t="s">
        <v>67</v>
      </c>
      <c r="R272" s="46">
        <v>1.0</v>
      </c>
      <c r="S272" s="45" t="s">
        <v>67</v>
      </c>
      <c r="T272" s="64"/>
      <c r="U272" s="45" t="s">
        <v>67</v>
      </c>
      <c r="V272" s="45"/>
      <c r="W272" s="68">
        <v>46132.0</v>
      </c>
      <c r="X272" s="49" t="s">
        <v>205</v>
      </c>
      <c r="Y272" s="49" t="s">
        <v>1631</v>
      </c>
      <c r="Z272" s="40" t="s">
        <v>1796</v>
      </c>
      <c r="AA272" s="45" t="s">
        <v>74</v>
      </c>
      <c r="AB272" s="45" t="s">
        <v>67</v>
      </c>
      <c r="AC272" s="45" t="s">
        <v>553</v>
      </c>
      <c r="AD272" s="51" t="s">
        <v>76</v>
      </c>
      <c r="AE272" s="54"/>
      <c r="AF272" s="45" t="s">
        <v>67</v>
      </c>
      <c r="AG272" s="45"/>
      <c r="AH272" s="45">
        <v>14.0</v>
      </c>
      <c r="AI272" s="45">
        <v>14.0</v>
      </c>
      <c r="AJ272" s="45"/>
      <c r="AK272" s="45"/>
      <c r="AL272" s="45"/>
      <c r="AM272" s="45"/>
      <c r="AN272" s="45">
        <v>0.0</v>
      </c>
      <c r="AO272" s="55"/>
      <c r="AP272" s="54"/>
      <c r="AQ272" s="54"/>
      <c r="AR272" s="54"/>
      <c r="AS272" s="54"/>
      <c r="AT272" s="54"/>
    </row>
    <row r="273">
      <c r="A273" s="35" t="s">
        <v>1821</v>
      </c>
      <c r="B273" s="36" t="s">
        <v>1788</v>
      </c>
      <c r="C273" s="36" t="s">
        <v>1789</v>
      </c>
      <c r="D273" s="36" t="s">
        <v>1822</v>
      </c>
      <c r="E273" s="62" t="s">
        <v>1829</v>
      </c>
      <c r="F273" s="38" t="s">
        <v>1830</v>
      </c>
      <c r="G273" s="61">
        <v>9.49596817E8</v>
      </c>
      <c r="H273" s="40"/>
      <c r="I273" s="40"/>
      <c r="J273" s="40" t="s">
        <v>65</v>
      </c>
      <c r="K273" s="41" t="s">
        <v>1831</v>
      </c>
      <c r="L273" s="42" t="s">
        <v>74</v>
      </c>
      <c r="M273" s="41" t="s">
        <v>1826</v>
      </c>
      <c r="N273" s="58" t="s">
        <v>1827</v>
      </c>
      <c r="O273" s="59" t="s">
        <v>1828</v>
      </c>
      <c r="P273" s="45"/>
      <c r="Q273" s="45" t="s">
        <v>67</v>
      </c>
      <c r="R273" s="46">
        <v>1.0</v>
      </c>
      <c r="S273" s="45" t="s">
        <v>67</v>
      </c>
      <c r="T273" s="64"/>
      <c r="U273" s="45" t="s">
        <v>67</v>
      </c>
      <c r="V273" s="45"/>
      <c r="W273" s="68">
        <v>46132.0</v>
      </c>
      <c r="X273" s="49" t="s">
        <v>205</v>
      </c>
      <c r="Y273" s="49" t="s">
        <v>1631</v>
      </c>
      <c r="Z273" s="40" t="s">
        <v>1796</v>
      </c>
      <c r="AA273" s="45" t="s">
        <v>74</v>
      </c>
      <c r="AB273" s="45" t="s">
        <v>67</v>
      </c>
      <c r="AC273" s="45" t="s">
        <v>553</v>
      </c>
      <c r="AD273" s="51" t="s">
        <v>76</v>
      </c>
      <c r="AE273" s="54"/>
      <c r="AF273" s="45" t="s">
        <v>67</v>
      </c>
      <c r="AG273" s="45"/>
      <c r="AH273" s="45">
        <v>0.0</v>
      </c>
      <c r="AI273" s="45"/>
      <c r="AJ273" s="45"/>
      <c r="AK273" s="45"/>
      <c r="AL273" s="45"/>
      <c r="AM273" s="45"/>
      <c r="AN273" s="45">
        <v>0.0</v>
      </c>
      <c r="AO273" s="55"/>
      <c r="AP273" s="54"/>
      <c r="AQ273" s="54"/>
      <c r="AR273" s="54"/>
      <c r="AS273" s="54"/>
      <c r="AT273" s="54"/>
    </row>
    <row r="274">
      <c r="A274" s="35" t="s">
        <v>1832</v>
      </c>
      <c r="B274" s="36" t="s">
        <v>1788</v>
      </c>
      <c r="C274" s="36" t="s">
        <v>1833</v>
      </c>
      <c r="D274" s="36" t="s">
        <v>1834</v>
      </c>
      <c r="E274" s="62" t="s">
        <v>1835</v>
      </c>
      <c r="F274" s="38" t="s">
        <v>1836</v>
      </c>
      <c r="G274" s="61">
        <v>9.77161851E8</v>
      </c>
      <c r="H274" s="40">
        <v>2571.0</v>
      </c>
      <c r="I274" s="40">
        <v>747.0</v>
      </c>
      <c r="J274" s="40" t="s">
        <v>65</v>
      </c>
      <c r="K274" s="42" t="s">
        <v>1837</v>
      </c>
      <c r="L274" s="42" t="s">
        <v>67</v>
      </c>
      <c r="M274" s="41" t="s">
        <v>1826</v>
      </c>
      <c r="N274" s="58" t="s">
        <v>1827</v>
      </c>
      <c r="O274" s="59" t="s">
        <v>1828</v>
      </c>
      <c r="P274" s="45"/>
      <c r="Q274" s="45" t="s">
        <v>67</v>
      </c>
      <c r="R274" s="46">
        <v>1.0</v>
      </c>
      <c r="S274" s="45" t="s">
        <v>67</v>
      </c>
      <c r="T274" s="64"/>
      <c r="U274" s="45" t="s">
        <v>67</v>
      </c>
      <c r="V274" s="45"/>
      <c r="W274" s="68">
        <v>46133.0</v>
      </c>
      <c r="X274" s="49" t="s">
        <v>205</v>
      </c>
      <c r="Y274" s="49" t="s">
        <v>1240</v>
      </c>
      <c r="Z274" s="40" t="s">
        <v>1796</v>
      </c>
      <c r="AA274" s="45" t="s">
        <v>74</v>
      </c>
      <c r="AB274" s="45" t="s">
        <v>67</v>
      </c>
      <c r="AC274" s="45" t="s">
        <v>135</v>
      </c>
      <c r="AD274" s="51" t="s">
        <v>76</v>
      </c>
      <c r="AE274" s="54"/>
      <c r="AF274" s="45" t="s">
        <v>67</v>
      </c>
      <c r="AG274" s="45"/>
      <c r="AH274" s="45">
        <v>33.0</v>
      </c>
      <c r="AI274" s="45">
        <v>13.0</v>
      </c>
      <c r="AJ274" s="45"/>
      <c r="AK274" s="45"/>
      <c r="AL274" s="45"/>
      <c r="AM274" s="45"/>
      <c r="AN274" s="45">
        <v>0.0</v>
      </c>
      <c r="AO274" s="55"/>
      <c r="AP274" s="54"/>
      <c r="AQ274" s="54"/>
      <c r="AR274" s="54"/>
      <c r="AS274" s="54"/>
      <c r="AT274" s="54"/>
    </row>
    <row r="275">
      <c r="A275" s="35" t="s">
        <v>1838</v>
      </c>
      <c r="B275" s="36" t="s">
        <v>1788</v>
      </c>
      <c r="C275" s="36" t="s">
        <v>1789</v>
      </c>
      <c r="D275" s="36" t="s">
        <v>1839</v>
      </c>
      <c r="E275" s="62" t="s">
        <v>1840</v>
      </c>
      <c r="F275" s="38" t="s">
        <v>1841</v>
      </c>
      <c r="G275" s="61">
        <v>9.12656463E8</v>
      </c>
      <c r="H275" s="40"/>
      <c r="I275" s="40"/>
      <c r="J275" s="40" t="s">
        <v>224</v>
      </c>
      <c r="K275" s="41" t="s">
        <v>1842</v>
      </c>
      <c r="L275" s="42" t="s">
        <v>67</v>
      </c>
      <c r="M275" s="41" t="s">
        <v>1826</v>
      </c>
      <c r="N275" s="58" t="s">
        <v>1827</v>
      </c>
      <c r="O275" s="59" t="s">
        <v>1828</v>
      </c>
      <c r="P275" s="45"/>
      <c r="Q275" s="45" t="s">
        <v>67</v>
      </c>
      <c r="R275" s="46">
        <v>1.0</v>
      </c>
      <c r="S275" s="45" t="s">
        <v>67</v>
      </c>
      <c r="T275" s="64"/>
      <c r="U275" s="45" t="s">
        <v>67</v>
      </c>
      <c r="V275" s="45"/>
      <c r="W275" s="68">
        <v>46133.0</v>
      </c>
      <c r="X275" s="49" t="s">
        <v>205</v>
      </c>
      <c r="Y275" s="49" t="s">
        <v>1843</v>
      </c>
      <c r="Z275" s="40" t="s">
        <v>1796</v>
      </c>
      <c r="AA275" s="45" t="s">
        <v>67</v>
      </c>
      <c r="AB275" s="45" t="s">
        <v>67</v>
      </c>
      <c r="AC275" s="45" t="s">
        <v>135</v>
      </c>
      <c r="AD275" s="51" t="s">
        <v>76</v>
      </c>
      <c r="AE275" s="54"/>
      <c r="AF275" s="45" t="s">
        <v>67</v>
      </c>
      <c r="AG275" s="45"/>
      <c r="AH275" s="45">
        <v>5.0</v>
      </c>
      <c r="AI275" s="45">
        <v>7.0</v>
      </c>
      <c r="AJ275" s="45"/>
      <c r="AK275" s="45"/>
      <c r="AL275" s="45"/>
      <c r="AM275" s="45"/>
      <c r="AN275" s="45">
        <v>0.0</v>
      </c>
      <c r="AO275" s="55"/>
      <c r="AP275" s="54"/>
      <c r="AQ275" s="54"/>
      <c r="AR275" s="54"/>
      <c r="AS275" s="54"/>
      <c r="AT275" s="54"/>
    </row>
    <row r="276">
      <c r="A276" s="35" t="s">
        <v>1844</v>
      </c>
      <c r="B276" s="36" t="s">
        <v>1788</v>
      </c>
      <c r="C276" s="36" t="s">
        <v>1798</v>
      </c>
      <c r="D276" s="36" t="s">
        <v>1845</v>
      </c>
      <c r="E276" s="62" t="s">
        <v>1846</v>
      </c>
      <c r="F276" s="38" t="s">
        <v>1847</v>
      </c>
      <c r="G276" s="61">
        <v>9.47714378E8</v>
      </c>
      <c r="H276" s="40" t="s">
        <v>200</v>
      </c>
      <c r="I276" s="40" t="s">
        <v>1848</v>
      </c>
      <c r="J276" s="40" t="s">
        <v>149</v>
      </c>
      <c r="K276" s="42" t="s">
        <v>1849</v>
      </c>
      <c r="L276" s="42" t="s">
        <v>74</v>
      </c>
      <c r="M276" s="41" t="s">
        <v>1803</v>
      </c>
      <c r="N276" s="58" t="s">
        <v>1850</v>
      </c>
      <c r="O276" s="59" t="s">
        <v>1851</v>
      </c>
      <c r="P276" s="45"/>
      <c r="Q276" s="45" t="s">
        <v>74</v>
      </c>
      <c r="R276" s="46">
        <v>2.0</v>
      </c>
      <c r="S276" s="45" t="s">
        <v>74</v>
      </c>
      <c r="T276" s="64"/>
      <c r="U276" s="45" t="s">
        <v>74</v>
      </c>
      <c r="V276" s="45"/>
      <c r="W276" s="103"/>
      <c r="X276" s="49" t="s">
        <v>205</v>
      </c>
      <c r="Y276" s="49"/>
      <c r="Z276" s="40" t="s">
        <v>1796</v>
      </c>
      <c r="AA276" s="45" t="s">
        <v>74</v>
      </c>
      <c r="AB276" s="45" t="s">
        <v>67</v>
      </c>
      <c r="AC276" s="45"/>
      <c r="AD276" s="51" t="s">
        <v>76</v>
      </c>
      <c r="AE276" s="54"/>
      <c r="AF276" s="45"/>
      <c r="AG276" s="45"/>
      <c r="AH276" s="45">
        <v>0.0</v>
      </c>
      <c r="AI276" s="45"/>
      <c r="AJ276" s="45"/>
      <c r="AK276" s="45"/>
      <c r="AL276" s="45"/>
      <c r="AM276" s="45"/>
      <c r="AN276" s="45">
        <v>0.0</v>
      </c>
      <c r="AO276" s="55"/>
      <c r="AP276" s="54"/>
      <c r="AQ276" s="54"/>
      <c r="AR276" s="54"/>
      <c r="AS276" s="54"/>
      <c r="AT276" s="54"/>
    </row>
    <row r="277">
      <c r="A277" s="35" t="s">
        <v>1852</v>
      </c>
      <c r="B277" s="36" t="s">
        <v>1853</v>
      </c>
      <c r="C277" s="36" t="s">
        <v>1854</v>
      </c>
      <c r="D277" s="36" t="s">
        <v>1855</v>
      </c>
      <c r="E277" s="62" t="s">
        <v>1856</v>
      </c>
      <c r="F277" s="38" t="s">
        <v>1857</v>
      </c>
      <c r="G277" s="61">
        <v>9.8803433E8</v>
      </c>
      <c r="H277" s="40">
        <v>2566.0</v>
      </c>
      <c r="I277" s="40">
        <v>733.0</v>
      </c>
      <c r="J277" s="40" t="s">
        <v>65</v>
      </c>
      <c r="K277" s="41" t="s">
        <v>1858</v>
      </c>
      <c r="L277" s="42" t="s">
        <v>67</v>
      </c>
      <c r="M277" s="41" t="s">
        <v>1099</v>
      </c>
      <c r="N277" s="43" t="s">
        <v>1100</v>
      </c>
      <c r="O277" s="44">
        <v>0.0</v>
      </c>
      <c r="P277" s="45"/>
      <c r="Q277" s="45" t="s">
        <v>67</v>
      </c>
      <c r="R277" s="46">
        <v>1.0</v>
      </c>
      <c r="S277" s="45" t="s">
        <v>67</v>
      </c>
      <c r="T277" s="64"/>
      <c r="U277" s="45" t="s">
        <v>67</v>
      </c>
      <c r="V277" s="45"/>
      <c r="W277" s="68">
        <v>46132.0</v>
      </c>
      <c r="X277" s="49" t="s">
        <v>205</v>
      </c>
      <c r="Y277" s="49" t="s">
        <v>1631</v>
      </c>
      <c r="Z277" s="40" t="s">
        <v>1796</v>
      </c>
      <c r="AA277" s="45" t="s">
        <v>74</v>
      </c>
      <c r="AB277" s="45" t="s">
        <v>67</v>
      </c>
      <c r="AC277" s="45" t="s">
        <v>96</v>
      </c>
      <c r="AD277" s="51" t="s">
        <v>76</v>
      </c>
      <c r="AE277" s="54"/>
      <c r="AF277" s="45" t="s">
        <v>67</v>
      </c>
      <c r="AG277" s="45"/>
      <c r="AH277" s="45">
        <v>21.0</v>
      </c>
      <c r="AI277" s="45">
        <v>10.0</v>
      </c>
      <c r="AJ277" s="45"/>
      <c r="AK277" s="45"/>
      <c r="AL277" s="45"/>
      <c r="AM277" s="45"/>
      <c r="AN277" s="45">
        <v>0.0</v>
      </c>
      <c r="AO277" s="55"/>
      <c r="AP277" s="54"/>
      <c r="AQ277" s="54"/>
      <c r="AR277" s="54"/>
      <c r="AS277" s="54"/>
      <c r="AT277" s="54"/>
    </row>
    <row r="278">
      <c r="A278" s="35" t="s">
        <v>1859</v>
      </c>
      <c r="B278" s="36" t="s">
        <v>1853</v>
      </c>
      <c r="C278" s="36" t="s">
        <v>1854</v>
      </c>
      <c r="D278" s="36" t="s">
        <v>1860</v>
      </c>
      <c r="E278" s="62" t="s">
        <v>1861</v>
      </c>
      <c r="F278" s="38" t="s">
        <v>1862</v>
      </c>
      <c r="G278" s="61">
        <v>9.57598356E8</v>
      </c>
      <c r="H278" s="40">
        <v>2570.0</v>
      </c>
      <c r="I278" s="40">
        <v>737.0</v>
      </c>
      <c r="J278" s="40" t="s">
        <v>65</v>
      </c>
      <c r="K278" s="41" t="s">
        <v>1863</v>
      </c>
      <c r="L278" s="42" t="s">
        <v>74</v>
      </c>
      <c r="M278" s="41" t="s">
        <v>1099</v>
      </c>
      <c r="N278" s="43" t="s">
        <v>1100</v>
      </c>
      <c r="O278" s="44">
        <v>0.0</v>
      </c>
      <c r="P278" s="45"/>
      <c r="Q278" s="45" t="s">
        <v>67</v>
      </c>
      <c r="R278" s="46">
        <v>1.0</v>
      </c>
      <c r="S278" s="45" t="s">
        <v>67</v>
      </c>
      <c r="T278" s="64"/>
      <c r="U278" s="45" t="s">
        <v>67</v>
      </c>
      <c r="V278" s="45"/>
      <c r="W278" s="68">
        <v>46133.0</v>
      </c>
      <c r="X278" s="49" t="s">
        <v>205</v>
      </c>
      <c r="Y278" s="49" t="s">
        <v>1843</v>
      </c>
      <c r="Z278" s="40" t="s">
        <v>1796</v>
      </c>
      <c r="AA278" s="45" t="s">
        <v>74</v>
      </c>
      <c r="AB278" s="45" t="s">
        <v>67</v>
      </c>
      <c r="AC278" s="45" t="s">
        <v>96</v>
      </c>
      <c r="AD278" s="51" t="s">
        <v>76</v>
      </c>
      <c r="AE278" s="54"/>
      <c r="AF278" s="45" t="s">
        <v>67</v>
      </c>
      <c r="AG278" s="45"/>
      <c r="AH278" s="45">
        <v>38.0</v>
      </c>
      <c r="AI278" s="45">
        <v>37.0</v>
      </c>
      <c r="AJ278" s="45"/>
      <c r="AK278" s="45"/>
      <c r="AL278" s="45"/>
      <c r="AM278" s="45"/>
      <c r="AN278" s="45">
        <v>0.0</v>
      </c>
      <c r="AO278" s="55"/>
      <c r="AP278" s="54"/>
      <c r="AQ278" s="54"/>
      <c r="AR278" s="54"/>
      <c r="AS278" s="54"/>
      <c r="AT278" s="54"/>
    </row>
    <row r="279">
      <c r="A279" s="35" t="s">
        <v>1864</v>
      </c>
      <c r="B279" s="36" t="s">
        <v>1865</v>
      </c>
      <c r="C279" s="36" t="s">
        <v>1866</v>
      </c>
      <c r="D279" s="36" t="s">
        <v>1867</v>
      </c>
      <c r="E279" s="62" t="s">
        <v>1868</v>
      </c>
      <c r="F279" s="38" t="s">
        <v>1869</v>
      </c>
      <c r="G279" s="61"/>
      <c r="H279" s="40"/>
      <c r="I279" s="40"/>
      <c r="J279" s="40" t="s">
        <v>224</v>
      </c>
      <c r="K279" s="42" t="s">
        <v>1870</v>
      </c>
      <c r="L279" s="42" t="s">
        <v>67</v>
      </c>
      <c r="M279" s="41" t="s">
        <v>1871</v>
      </c>
      <c r="N279" s="43">
        <v>0.0</v>
      </c>
      <c r="O279" s="44">
        <v>0.0</v>
      </c>
      <c r="P279" s="45"/>
      <c r="Q279" s="45" t="s">
        <v>226</v>
      </c>
      <c r="R279" s="165"/>
      <c r="S279" s="45" t="s">
        <v>67</v>
      </c>
      <c r="T279" s="64"/>
      <c r="U279" s="45" t="s">
        <v>67</v>
      </c>
      <c r="V279" s="45"/>
      <c r="W279" s="68">
        <v>46133.0</v>
      </c>
      <c r="X279" s="49" t="s">
        <v>205</v>
      </c>
      <c r="Y279" s="49" t="s">
        <v>1843</v>
      </c>
      <c r="Z279" s="40" t="s">
        <v>1796</v>
      </c>
      <c r="AA279" s="45" t="s">
        <v>74</v>
      </c>
      <c r="AB279" s="45" t="s">
        <v>67</v>
      </c>
      <c r="AC279" s="45" t="s">
        <v>195</v>
      </c>
      <c r="AD279" s="51" t="s">
        <v>76</v>
      </c>
      <c r="AE279" s="54"/>
      <c r="AF279" s="45" t="s">
        <v>67</v>
      </c>
      <c r="AG279" s="45"/>
      <c r="AH279" s="45">
        <v>30.0</v>
      </c>
      <c r="AI279" s="45">
        <v>19.0</v>
      </c>
      <c r="AJ279" s="45"/>
      <c r="AK279" s="45"/>
      <c r="AL279" s="45"/>
      <c r="AM279" s="45"/>
      <c r="AN279" s="45">
        <v>0.0</v>
      </c>
      <c r="AO279" s="55"/>
      <c r="AP279" s="54"/>
      <c r="AQ279" s="54"/>
      <c r="AR279" s="54"/>
      <c r="AS279" s="54"/>
      <c r="AT279" s="54"/>
    </row>
    <row r="280">
      <c r="A280" s="35" t="s">
        <v>1872</v>
      </c>
      <c r="B280" s="36" t="s">
        <v>1865</v>
      </c>
      <c r="C280" s="36" t="s">
        <v>1873</v>
      </c>
      <c r="D280" s="36" t="s">
        <v>1874</v>
      </c>
      <c r="E280" s="62" t="s">
        <v>1875</v>
      </c>
      <c r="F280" s="38" t="s">
        <v>1876</v>
      </c>
      <c r="G280" s="61">
        <v>9.9178907E8</v>
      </c>
      <c r="H280" s="40">
        <v>2774.0</v>
      </c>
      <c r="I280" s="40">
        <v>904.0</v>
      </c>
      <c r="J280" s="40" t="s">
        <v>65</v>
      </c>
      <c r="K280" s="41" t="s">
        <v>1877</v>
      </c>
      <c r="L280" s="42" t="s">
        <v>67</v>
      </c>
      <c r="M280" s="41" t="s">
        <v>1878</v>
      </c>
      <c r="N280" s="43" t="s">
        <v>1879</v>
      </c>
      <c r="O280" s="44">
        <v>0.0</v>
      </c>
      <c r="P280" s="45"/>
      <c r="Q280" s="45" t="s">
        <v>67</v>
      </c>
      <c r="R280" s="46">
        <v>2.0</v>
      </c>
      <c r="S280" s="45" t="s">
        <v>67</v>
      </c>
      <c r="T280" s="64"/>
      <c r="U280" s="45" t="s">
        <v>67</v>
      </c>
      <c r="V280" s="45"/>
      <c r="W280" s="68">
        <v>46132.0</v>
      </c>
      <c r="X280" s="49" t="s">
        <v>205</v>
      </c>
      <c r="Y280" s="49" t="s">
        <v>1370</v>
      </c>
      <c r="Z280" s="40" t="s">
        <v>1796</v>
      </c>
      <c r="AA280" s="45" t="s">
        <v>74</v>
      </c>
      <c r="AB280" s="45" t="s">
        <v>67</v>
      </c>
      <c r="AC280" s="45" t="s">
        <v>195</v>
      </c>
      <c r="AD280" s="51" t="s">
        <v>76</v>
      </c>
      <c r="AE280" s="54"/>
      <c r="AF280" s="45" t="s">
        <v>67</v>
      </c>
      <c r="AG280" s="45"/>
      <c r="AH280" s="45">
        <v>24.0</v>
      </c>
      <c r="AI280" s="45">
        <v>21.0</v>
      </c>
      <c r="AJ280" s="45"/>
      <c r="AK280" s="45"/>
      <c r="AL280" s="45"/>
      <c r="AM280" s="45"/>
      <c r="AN280" s="45">
        <v>0.0</v>
      </c>
      <c r="AO280" s="55"/>
      <c r="AP280" s="54"/>
      <c r="AQ280" s="54"/>
      <c r="AR280" s="54"/>
      <c r="AS280" s="54"/>
      <c r="AT280" s="54"/>
    </row>
    <row r="281">
      <c r="A281" s="35" t="s">
        <v>1872</v>
      </c>
      <c r="B281" s="36" t="s">
        <v>1865</v>
      </c>
      <c r="C281" s="36" t="s">
        <v>1873</v>
      </c>
      <c r="D281" s="36" t="s">
        <v>1874</v>
      </c>
      <c r="E281" s="62" t="s">
        <v>1880</v>
      </c>
      <c r="F281" s="38" t="s">
        <v>1881</v>
      </c>
      <c r="G281" s="61">
        <v>9.22249536E8</v>
      </c>
      <c r="H281" s="40">
        <v>2775.0</v>
      </c>
      <c r="I281" s="40">
        <v>905.0</v>
      </c>
      <c r="J281" s="40" t="s">
        <v>65</v>
      </c>
      <c r="K281" s="41" t="s">
        <v>1882</v>
      </c>
      <c r="L281" s="42" t="s">
        <v>67</v>
      </c>
      <c r="M281" s="41" t="s">
        <v>1878</v>
      </c>
      <c r="N281" s="43" t="s">
        <v>1879</v>
      </c>
      <c r="O281" s="44">
        <v>0.0</v>
      </c>
      <c r="P281" s="45"/>
      <c r="Q281" s="45" t="s">
        <v>67</v>
      </c>
      <c r="R281" s="46">
        <v>2.0</v>
      </c>
      <c r="S281" s="45" t="s">
        <v>67</v>
      </c>
      <c r="T281" s="64"/>
      <c r="U281" s="45" t="s">
        <v>67</v>
      </c>
      <c r="V281" s="45"/>
      <c r="W281" s="68">
        <v>46132.0</v>
      </c>
      <c r="X281" s="49" t="s">
        <v>205</v>
      </c>
      <c r="Y281" s="49" t="s">
        <v>1370</v>
      </c>
      <c r="Z281" s="40" t="s">
        <v>1796</v>
      </c>
      <c r="AA281" s="45" t="s">
        <v>74</v>
      </c>
      <c r="AB281" s="45" t="s">
        <v>67</v>
      </c>
      <c r="AC281" s="45" t="s">
        <v>195</v>
      </c>
      <c r="AD281" s="51" t="s">
        <v>76</v>
      </c>
      <c r="AE281" s="54"/>
      <c r="AF281" s="45" t="s">
        <v>67</v>
      </c>
      <c r="AG281" s="45"/>
      <c r="AH281" s="45">
        <v>0.0</v>
      </c>
      <c r="AI281" s="45"/>
      <c r="AJ281" s="45"/>
      <c r="AK281" s="45"/>
      <c r="AL281" s="45"/>
      <c r="AM281" s="45"/>
      <c r="AN281" s="45">
        <v>0.0</v>
      </c>
      <c r="AO281" s="55"/>
      <c r="AP281" s="54"/>
      <c r="AQ281" s="54"/>
      <c r="AR281" s="54"/>
      <c r="AS281" s="54"/>
      <c r="AT281" s="54"/>
    </row>
    <row r="282">
      <c r="A282" s="35" t="s">
        <v>1883</v>
      </c>
      <c r="B282" s="36" t="s">
        <v>1865</v>
      </c>
      <c r="C282" s="36" t="s">
        <v>1873</v>
      </c>
      <c r="D282" s="36" t="s">
        <v>1884</v>
      </c>
      <c r="E282" s="37" t="s">
        <v>1885</v>
      </c>
      <c r="F282" s="38"/>
      <c r="G282" s="159"/>
      <c r="H282" s="40"/>
      <c r="I282" s="40"/>
      <c r="J282" s="40" t="s">
        <v>149</v>
      </c>
      <c r="K282" s="42" t="s">
        <v>1886</v>
      </c>
      <c r="L282" s="42" t="s">
        <v>74</v>
      </c>
      <c r="M282" s="41" t="s">
        <v>1878</v>
      </c>
      <c r="N282" s="43" t="s">
        <v>1879</v>
      </c>
      <c r="O282" s="44">
        <v>0.0</v>
      </c>
      <c r="P282" s="45"/>
      <c r="Q282" s="45" t="s">
        <v>74</v>
      </c>
      <c r="R282" s="46">
        <v>2.0</v>
      </c>
      <c r="S282" s="45" t="s">
        <v>74</v>
      </c>
      <c r="T282" s="64"/>
      <c r="U282" s="45" t="s">
        <v>74</v>
      </c>
      <c r="V282" s="45"/>
      <c r="W282" s="103"/>
      <c r="X282" s="49" t="s">
        <v>205</v>
      </c>
      <c r="Y282" s="49"/>
      <c r="Z282" s="40" t="s">
        <v>1796</v>
      </c>
      <c r="AA282" s="45" t="s">
        <v>74</v>
      </c>
      <c r="AB282" s="45" t="s">
        <v>67</v>
      </c>
      <c r="AC282" s="45"/>
      <c r="AD282" s="51" t="s">
        <v>76</v>
      </c>
      <c r="AE282" s="54"/>
      <c r="AF282" s="45"/>
      <c r="AG282" s="45"/>
      <c r="AH282" s="45">
        <v>0.0</v>
      </c>
      <c r="AI282" s="45"/>
      <c r="AJ282" s="45"/>
      <c r="AK282" s="45"/>
      <c r="AL282" s="45"/>
      <c r="AM282" s="45"/>
      <c r="AN282" s="45">
        <v>0.0</v>
      </c>
      <c r="AO282" s="55"/>
      <c r="AP282" s="54"/>
      <c r="AQ282" s="54"/>
      <c r="AR282" s="54"/>
      <c r="AS282" s="54"/>
      <c r="AT282" s="54"/>
    </row>
    <row r="283">
      <c r="A283" s="35" t="s">
        <v>1887</v>
      </c>
      <c r="B283" s="36" t="s">
        <v>1865</v>
      </c>
      <c r="C283" s="36" t="s">
        <v>1888</v>
      </c>
      <c r="D283" s="36" t="s">
        <v>1888</v>
      </c>
      <c r="E283" s="62" t="s">
        <v>1889</v>
      </c>
      <c r="F283" s="38" t="s">
        <v>1890</v>
      </c>
      <c r="G283" s="61">
        <v>9.45503072E8</v>
      </c>
      <c r="H283" s="40">
        <v>2756.0</v>
      </c>
      <c r="I283" s="40">
        <v>884.0</v>
      </c>
      <c r="J283" s="40" t="s">
        <v>65</v>
      </c>
      <c r="K283" s="41" t="s">
        <v>1891</v>
      </c>
      <c r="L283" s="42" t="s">
        <v>67</v>
      </c>
      <c r="M283" s="41" t="s">
        <v>328</v>
      </c>
      <c r="N283" s="43" t="s">
        <v>329</v>
      </c>
      <c r="O283" s="44">
        <v>9.97795341E8</v>
      </c>
      <c r="P283" s="45"/>
      <c r="Q283" s="45" t="s">
        <v>67</v>
      </c>
      <c r="R283" s="46">
        <v>1.0</v>
      </c>
      <c r="S283" s="45" t="s">
        <v>67</v>
      </c>
      <c r="T283" s="64"/>
      <c r="U283" s="45" t="s">
        <v>67</v>
      </c>
      <c r="V283" s="45"/>
      <c r="W283" s="68">
        <v>46133.0</v>
      </c>
      <c r="X283" s="49" t="s">
        <v>205</v>
      </c>
      <c r="Y283" s="49" t="s">
        <v>1631</v>
      </c>
      <c r="Z283" s="40" t="s">
        <v>1796</v>
      </c>
      <c r="AA283" s="45" t="s">
        <v>74</v>
      </c>
      <c r="AB283" s="45" t="s">
        <v>67</v>
      </c>
      <c r="AC283" s="45" t="s">
        <v>86</v>
      </c>
      <c r="AD283" s="51" t="s">
        <v>76</v>
      </c>
      <c r="AE283" s="54"/>
      <c r="AF283" s="45" t="s">
        <v>67</v>
      </c>
      <c r="AG283" s="45"/>
      <c r="AH283" s="45">
        <v>23.0</v>
      </c>
      <c r="AI283" s="45">
        <v>23.0</v>
      </c>
      <c r="AJ283" s="45"/>
      <c r="AK283" s="45"/>
      <c r="AL283" s="45"/>
      <c r="AM283" s="45"/>
      <c r="AN283" s="45">
        <v>0.0</v>
      </c>
      <c r="AO283" s="55"/>
      <c r="AP283" s="54"/>
      <c r="AQ283" s="54"/>
      <c r="AR283" s="54"/>
      <c r="AS283" s="54"/>
      <c r="AT283" s="54"/>
    </row>
    <row r="284">
      <c r="A284" s="35" t="s">
        <v>1892</v>
      </c>
      <c r="B284" s="36" t="s">
        <v>1865</v>
      </c>
      <c r="C284" s="36" t="s">
        <v>1893</v>
      </c>
      <c r="D284" s="36" t="s">
        <v>1894</v>
      </c>
      <c r="E284" s="62" t="s">
        <v>1895</v>
      </c>
      <c r="F284" s="38" t="s">
        <v>1896</v>
      </c>
      <c r="G284" s="61">
        <v>9.32451402E8</v>
      </c>
      <c r="H284" s="40">
        <v>2520.0</v>
      </c>
      <c r="I284" s="40">
        <v>932.0</v>
      </c>
      <c r="J284" s="40" t="s">
        <v>65</v>
      </c>
      <c r="K284" s="42" t="s">
        <v>1897</v>
      </c>
      <c r="L284" s="42" t="s">
        <v>67</v>
      </c>
      <c r="M284" s="41" t="s">
        <v>1878</v>
      </c>
      <c r="N284" s="43" t="s">
        <v>1879</v>
      </c>
      <c r="O284" s="44">
        <v>0.0</v>
      </c>
      <c r="P284" s="45"/>
      <c r="Q284" s="45" t="s">
        <v>67</v>
      </c>
      <c r="R284" s="46">
        <v>1.0</v>
      </c>
      <c r="S284" s="45" t="s">
        <v>67</v>
      </c>
      <c r="T284" s="64"/>
      <c r="U284" s="45" t="s">
        <v>67</v>
      </c>
      <c r="V284" s="45"/>
      <c r="W284" s="68">
        <v>46133.0</v>
      </c>
      <c r="X284" s="49" t="s">
        <v>205</v>
      </c>
      <c r="Y284" s="49" t="s">
        <v>1843</v>
      </c>
      <c r="Z284" s="40" t="s">
        <v>1796</v>
      </c>
      <c r="AA284" s="45" t="s">
        <v>67</v>
      </c>
      <c r="AB284" s="45" t="s">
        <v>67</v>
      </c>
      <c r="AC284" s="45" t="s">
        <v>135</v>
      </c>
      <c r="AD284" s="51" t="s">
        <v>76</v>
      </c>
      <c r="AE284" s="54"/>
      <c r="AF284" s="45" t="s">
        <v>67</v>
      </c>
      <c r="AG284" s="45"/>
      <c r="AH284" s="45">
        <v>29.0</v>
      </c>
      <c r="AI284" s="45">
        <v>41.0</v>
      </c>
      <c r="AJ284" s="45"/>
      <c r="AK284" s="45"/>
      <c r="AL284" s="45"/>
      <c r="AM284" s="45"/>
      <c r="AN284" s="45">
        <v>0.0</v>
      </c>
      <c r="AO284" s="55"/>
      <c r="AP284" s="54"/>
      <c r="AQ284" s="54"/>
      <c r="AR284" s="54"/>
      <c r="AS284" s="54"/>
      <c r="AT284" s="54"/>
    </row>
    <row r="285">
      <c r="A285" s="35" t="s">
        <v>1892</v>
      </c>
      <c r="B285" s="36" t="s">
        <v>1865</v>
      </c>
      <c r="C285" s="36" t="s">
        <v>1893</v>
      </c>
      <c r="D285" s="36" t="s">
        <v>1894</v>
      </c>
      <c r="E285" s="62" t="s">
        <v>1898</v>
      </c>
      <c r="F285" s="38" t="s">
        <v>1899</v>
      </c>
      <c r="G285" s="61">
        <v>9.34775047E8</v>
      </c>
      <c r="H285" s="40">
        <v>2521.0</v>
      </c>
      <c r="I285" s="40">
        <v>933.0</v>
      </c>
      <c r="J285" s="40" t="s">
        <v>65</v>
      </c>
      <c r="K285" s="41" t="s">
        <v>1900</v>
      </c>
      <c r="L285" s="42" t="s">
        <v>74</v>
      </c>
      <c r="M285" s="41" t="s">
        <v>1878</v>
      </c>
      <c r="N285" s="43" t="s">
        <v>1879</v>
      </c>
      <c r="O285" s="44">
        <v>0.0</v>
      </c>
      <c r="P285" s="45"/>
      <c r="Q285" s="45" t="s">
        <v>67</v>
      </c>
      <c r="R285" s="46">
        <v>1.0</v>
      </c>
      <c r="S285" s="45" t="s">
        <v>67</v>
      </c>
      <c r="T285" s="64"/>
      <c r="U285" s="45" t="s">
        <v>67</v>
      </c>
      <c r="V285" s="45"/>
      <c r="W285" s="68">
        <v>46133.0</v>
      </c>
      <c r="X285" s="49" t="s">
        <v>205</v>
      </c>
      <c r="Y285" s="49" t="s">
        <v>1843</v>
      </c>
      <c r="Z285" s="40" t="s">
        <v>1796</v>
      </c>
      <c r="AA285" s="45" t="s">
        <v>74</v>
      </c>
      <c r="AB285" s="45" t="s">
        <v>67</v>
      </c>
      <c r="AC285" s="45" t="s">
        <v>135</v>
      </c>
      <c r="AD285" s="51" t="s">
        <v>76</v>
      </c>
      <c r="AE285" s="54"/>
      <c r="AF285" s="45" t="s">
        <v>67</v>
      </c>
      <c r="AG285" s="45"/>
      <c r="AH285" s="45">
        <v>0.0</v>
      </c>
      <c r="AI285" s="45"/>
      <c r="AJ285" s="45"/>
      <c r="AK285" s="45"/>
      <c r="AL285" s="45"/>
      <c r="AM285" s="45"/>
      <c r="AN285" s="45">
        <v>0.0</v>
      </c>
      <c r="AO285" s="55"/>
      <c r="AP285" s="54"/>
      <c r="AQ285" s="54"/>
      <c r="AR285" s="54"/>
      <c r="AS285" s="54"/>
      <c r="AT285" s="54"/>
    </row>
    <row r="286">
      <c r="A286" s="35" t="s">
        <v>1901</v>
      </c>
      <c r="B286" s="36" t="s">
        <v>1865</v>
      </c>
      <c r="C286" s="36" t="s">
        <v>1902</v>
      </c>
      <c r="D286" s="36" t="s">
        <v>1903</v>
      </c>
      <c r="E286" s="62" t="s">
        <v>208</v>
      </c>
      <c r="F286" s="38"/>
      <c r="G286" s="61"/>
      <c r="H286" s="40"/>
      <c r="I286" s="40"/>
      <c r="J286" s="40" t="s">
        <v>149</v>
      </c>
      <c r="K286" s="41" t="s">
        <v>1904</v>
      </c>
      <c r="L286" s="42" t="s">
        <v>74</v>
      </c>
      <c r="M286" s="41" t="s">
        <v>1871</v>
      </c>
      <c r="N286" s="43">
        <v>0.0</v>
      </c>
      <c r="O286" s="44">
        <v>0.0</v>
      </c>
      <c r="P286" s="45"/>
      <c r="Q286" s="45" t="s">
        <v>226</v>
      </c>
      <c r="R286" s="165"/>
      <c r="S286" s="45" t="s">
        <v>74</v>
      </c>
      <c r="T286" s="64"/>
      <c r="U286" s="45" t="s">
        <v>74</v>
      </c>
      <c r="V286" s="45"/>
      <c r="W286" s="103"/>
      <c r="X286" s="49" t="s">
        <v>205</v>
      </c>
      <c r="Y286" s="49"/>
      <c r="Z286" s="40" t="s">
        <v>1796</v>
      </c>
      <c r="AA286" s="45" t="s">
        <v>74</v>
      </c>
      <c r="AB286" s="45" t="s">
        <v>67</v>
      </c>
      <c r="AC286" s="45"/>
      <c r="AD286" s="51" t="s">
        <v>76</v>
      </c>
      <c r="AE286" s="54"/>
      <c r="AF286" s="45"/>
      <c r="AG286" s="45"/>
      <c r="AH286" s="45">
        <v>0.0</v>
      </c>
      <c r="AI286" s="45"/>
      <c r="AJ286" s="45"/>
      <c r="AK286" s="45"/>
      <c r="AL286" s="45"/>
      <c r="AM286" s="45"/>
      <c r="AN286" s="45">
        <v>0.0</v>
      </c>
      <c r="AO286" s="55"/>
      <c r="AP286" s="54"/>
      <c r="AQ286" s="54"/>
      <c r="AR286" s="54"/>
      <c r="AS286" s="54"/>
      <c r="AT286" s="54"/>
    </row>
    <row r="287">
      <c r="A287" s="35" t="s">
        <v>1905</v>
      </c>
      <c r="B287" s="36" t="s">
        <v>1865</v>
      </c>
      <c r="C287" s="36" t="s">
        <v>1873</v>
      </c>
      <c r="D287" s="36" t="s">
        <v>1906</v>
      </c>
      <c r="E287" s="62" t="s">
        <v>1907</v>
      </c>
      <c r="F287" s="38" t="s">
        <v>1908</v>
      </c>
      <c r="G287" s="61">
        <v>9.16674701E8</v>
      </c>
      <c r="H287" s="40">
        <v>2777.0</v>
      </c>
      <c r="I287" s="40">
        <v>907.0</v>
      </c>
      <c r="J287" s="40" t="s">
        <v>65</v>
      </c>
      <c r="K287" s="42" t="s">
        <v>1909</v>
      </c>
      <c r="L287" s="42" t="s">
        <v>67</v>
      </c>
      <c r="M287" s="41" t="s">
        <v>1878</v>
      </c>
      <c r="N287" s="43" t="s">
        <v>1879</v>
      </c>
      <c r="O287" s="44">
        <v>0.0</v>
      </c>
      <c r="P287" s="45"/>
      <c r="Q287" s="45" t="s">
        <v>67</v>
      </c>
      <c r="R287" s="46">
        <v>2.0</v>
      </c>
      <c r="S287" s="45" t="s">
        <v>67</v>
      </c>
      <c r="T287" s="64"/>
      <c r="U287" s="45" t="s">
        <v>67</v>
      </c>
      <c r="V287" s="45"/>
      <c r="W287" s="68">
        <v>46133.0</v>
      </c>
      <c r="X287" s="49" t="s">
        <v>205</v>
      </c>
      <c r="Y287" s="49" t="s">
        <v>893</v>
      </c>
      <c r="Z287" s="40" t="s">
        <v>1796</v>
      </c>
      <c r="AA287" s="45" t="s">
        <v>74</v>
      </c>
      <c r="AB287" s="45" t="s">
        <v>67</v>
      </c>
      <c r="AC287" s="45" t="s">
        <v>135</v>
      </c>
      <c r="AD287" s="51" t="s">
        <v>76</v>
      </c>
      <c r="AE287" s="54"/>
      <c r="AF287" s="45" t="s">
        <v>67</v>
      </c>
      <c r="AG287" s="45"/>
      <c r="AH287" s="45">
        <v>13.0</v>
      </c>
      <c r="AI287" s="45">
        <v>10.0</v>
      </c>
      <c r="AJ287" s="45"/>
      <c r="AK287" s="45"/>
      <c r="AL287" s="45"/>
      <c r="AM287" s="45"/>
      <c r="AN287" s="45">
        <v>0.0</v>
      </c>
      <c r="AO287" s="55"/>
      <c r="AP287" s="54"/>
      <c r="AQ287" s="54"/>
      <c r="AR287" s="54"/>
      <c r="AS287" s="54"/>
      <c r="AT287" s="54"/>
    </row>
    <row r="288">
      <c r="A288" s="35" t="s">
        <v>1905</v>
      </c>
      <c r="B288" s="36" t="s">
        <v>1865</v>
      </c>
      <c r="C288" s="36" t="s">
        <v>1873</v>
      </c>
      <c r="D288" s="36" t="s">
        <v>1906</v>
      </c>
      <c r="E288" s="62" t="s">
        <v>1910</v>
      </c>
      <c r="F288" s="38" t="s">
        <v>1911</v>
      </c>
      <c r="G288" s="61">
        <v>9.03364888E8</v>
      </c>
      <c r="H288" s="40"/>
      <c r="I288" s="40"/>
      <c r="J288" s="40" t="s">
        <v>65</v>
      </c>
      <c r="K288" s="41" t="s">
        <v>1912</v>
      </c>
      <c r="L288" s="42" t="s">
        <v>74</v>
      </c>
      <c r="M288" s="41" t="s">
        <v>1878</v>
      </c>
      <c r="N288" s="43" t="s">
        <v>1879</v>
      </c>
      <c r="O288" s="44">
        <v>0.0</v>
      </c>
      <c r="P288" s="45"/>
      <c r="Q288" s="45" t="s">
        <v>67</v>
      </c>
      <c r="R288" s="46">
        <v>2.0</v>
      </c>
      <c r="S288" s="45" t="s">
        <v>67</v>
      </c>
      <c r="T288" s="64"/>
      <c r="U288" s="45" t="s">
        <v>67</v>
      </c>
      <c r="V288" s="45"/>
      <c r="W288" s="68">
        <v>46133.0</v>
      </c>
      <c r="X288" s="49" t="s">
        <v>205</v>
      </c>
      <c r="Y288" s="49" t="s">
        <v>893</v>
      </c>
      <c r="Z288" s="40" t="s">
        <v>1796</v>
      </c>
      <c r="AA288" s="45" t="s">
        <v>74</v>
      </c>
      <c r="AB288" s="45" t="s">
        <v>67</v>
      </c>
      <c r="AC288" s="45" t="s">
        <v>135</v>
      </c>
      <c r="AD288" s="51" t="s">
        <v>76</v>
      </c>
      <c r="AE288" s="54"/>
      <c r="AF288" s="45" t="s">
        <v>67</v>
      </c>
      <c r="AG288" s="45"/>
      <c r="AH288" s="45">
        <v>0.0</v>
      </c>
      <c r="AI288" s="45"/>
      <c r="AJ288" s="45"/>
      <c r="AK288" s="45"/>
      <c r="AL288" s="45"/>
      <c r="AM288" s="45"/>
      <c r="AN288" s="45">
        <v>0.0</v>
      </c>
      <c r="AO288" s="55"/>
      <c r="AP288" s="54"/>
      <c r="AQ288" s="54"/>
      <c r="AR288" s="54"/>
      <c r="AS288" s="54"/>
      <c r="AT288" s="54"/>
    </row>
    <row r="289">
      <c r="A289" s="35" t="s">
        <v>1913</v>
      </c>
      <c r="B289" s="36" t="s">
        <v>1865</v>
      </c>
      <c r="C289" s="36" t="s">
        <v>1914</v>
      </c>
      <c r="D289" s="36" t="s">
        <v>1915</v>
      </c>
      <c r="E289" s="62" t="s">
        <v>1916</v>
      </c>
      <c r="F289" s="38" t="s">
        <v>1917</v>
      </c>
      <c r="G289" s="61">
        <v>9.8671641E8</v>
      </c>
      <c r="H289" s="40">
        <v>2773.0</v>
      </c>
      <c r="I289" s="40">
        <v>902.0</v>
      </c>
      <c r="J289" s="40" t="s">
        <v>65</v>
      </c>
      <c r="K289" s="41" t="s">
        <v>1918</v>
      </c>
      <c r="L289" s="42" t="s">
        <v>67</v>
      </c>
      <c r="M289" s="41" t="s">
        <v>1871</v>
      </c>
      <c r="N289" s="43">
        <v>0.0</v>
      </c>
      <c r="O289" s="44">
        <v>0.0</v>
      </c>
      <c r="P289" s="45"/>
      <c r="Q289" s="45" t="s">
        <v>226</v>
      </c>
      <c r="R289" s="165"/>
      <c r="S289" s="45" t="s">
        <v>67</v>
      </c>
      <c r="T289" s="64"/>
      <c r="U289" s="45" t="s">
        <v>67</v>
      </c>
      <c r="V289" s="45"/>
      <c r="W289" s="68">
        <v>46132.0</v>
      </c>
      <c r="X289" s="49" t="s">
        <v>205</v>
      </c>
      <c r="Y289" s="49" t="s">
        <v>1370</v>
      </c>
      <c r="Z289" s="40" t="s">
        <v>1796</v>
      </c>
      <c r="AA289" s="45" t="s">
        <v>74</v>
      </c>
      <c r="AB289" s="45" t="s">
        <v>67</v>
      </c>
      <c r="AC289" s="45" t="s">
        <v>135</v>
      </c>
      <c r="AD289" s="51" t="s">
        <v>76</v>
      </c>
      <c r="AE289" s="54"/>
      <c r="AF289" s="45" t="s">
        <v>67</v>
      </c>
      <c r="AG289" s="45"/>
      <c r="AH289" s="45">
        <v>20.0</v>
      </c>
      <c r="AI289" s="45">
        <v>15.0</v>
      </c>
      <c r="AJ289" s="45"/>
      <c r="AK289" s="45"/>
      <c r="AL289" s="45"/>
      <c r="AM289" s="45"/>
      <c r="AN289" s="45">
        <v>0.0</v>
      </c>
      <c r="AO289" s="55"/>
      <c r="AP289" s="54"/>
      <c r="AQ289" s="54"/>
      <c r="AR289" s="54"/>
      <c r="AS289" s="54"/>
      <c r="AT289" s="54"/>
    </row>
    <row r="290">
      <c r="A290" s="35" t="s">
        <v>1919</v>
      </c>
      <c r="B290" s="36" t="s">
        <v>1865</v>
      </c>
      <c r="C290" s="36" t="s">
        <v>1902</v>
      </c>
      <c r="D290" s="36" t="s">
        <v>1920</v>
      </c>
      <c r="E290" s="62" t="s">
        <v>1921</v>
      </c>
      <c r="F290" s="38" t="s">
        <v>1922</v>
      </c>
      <c r="G290" s="61">
        <v>9.13999474E8</v>
      </c>
      <c r="H290" s="40">
        <v>2763.0</v>
      </c>
      <c r="I290" s="40">
        <v>891.0</v>
      </c>
      <c r="J290" s="40" t="s">
        <v>65</v>
      </c>
      <c r="K290" s="42" t="s">
        <v>1923</v>
      </c>
      <c r="L290" s="42" t="s">
        <v>67</v>
      </c>
      <c r="M290" s="41" t="s">
        <v>1871</v>
      </c>
      <c r="N290" s="43">
        <v>0.0</v>
      </c>
      <c r="O290" s="44">
        <v>0.0</v>
      </c>
      <c r="P290" s="45"/>
      <c r="Q290" s="45" t="s">
        <v>226</v>
      </c>
      <c r="R290" s="165"/>
      <c r="S290" s="45" t="s">
        <v>67</v>
      </c>
      <c r="T290" s="64"/>
      <c r="U290" s="45" t="s">
        <v>67</v>
      </c>
      <c r="V290" s="45"/>
      <c r="W290" s="68">
        <v>46133.0</v>
      </c>
      <c r="X290" s="49" t="s">
        <v>205</v>
      </c>
      <c r="Y290" s="49" t="s">
        <v>1192</v>
      </c>
      <c r="Z290" s="40" t="s">
        <v>1796</v>
      </c>
      <c r="AA290" s="45" t="s">
        <v>74</v>
      </c>
      <c r="AB290" s="45" t="s">
        <v>67</v>
      </c>
      <c r="AC290" s="45" t="s">
        <v>135</v>
      </c>
      <c r="AD290" s="51" t="s">
        <v>76</v>
      </c>
      <c r="AE290" s="54"/>
      <c r="AF290" s="45" t="s">
        <v>67</v>
      </c>
      <c r="AG290" s="45"/>
      <c r="AH290" s="45">
        <v>28.0</v>
      </c>
      <c r="AI290" s="45">
        <v>14.0</v>
      </c>
      <c r="AJ290" s="45"/>
      <c r="AK290" s="45"/>
      <c r="AL290" s="45"/>
      <c r="AM290" s="45"/>
      <c r="AN290" s="45">
        <v>0.0</v>
      </c>
      <c r="AO290" s="55"/>
      <c r="AP290" s="54"/>
      <c r="AQ290" s="54"/>
      <c r="AR290" s="54"/>
      <c r="AS290" s="54"/>
      <c r="AT290" s="54"/>
    </row>
    <row r="291">
      <c r="A291" s="35" t="s">
        <v>1919</v>
      </c>
      <c r="B291" s="36" t="s">
        <v>1865</v>
      </c>
      <c r="C291" s="36" t="s">
        <v>1902</v>
      </c>
      <c r="D291" s="36" t="s">
        <v>1920</v>
      </c>
      <c r="E291" s="62" t="s">
        <v>1924</v>
      </c>
      <c r="F291" s="38" t="s">
        <v>1925</v>
      </c>
      <c r="G291" s="61">
        <v>9.65458413E8</v>
      </c>
      <c r="H291" s="40">
        <v>2762.0</v>
      </c>
      <c r="I291" s="40">
        <v>890.0</v>
      </c>
      <c r="J291" s="40" t="s">
        <v>65</v>
      </c>
      <c r="K291" s="41" t="s">
        <v>1926</v>
      </c>
      <c r="L291" s="42" t="s">
        <v>74</v>
      </c>
      <c r="M291" s="41" t="s">
        <v>1871</v>
      </c>
      <c r="N291" s="43">
        <v>0.0</v>
      </c>
      <c r="O291" s="44">
        <v>0.0</v>
      </c>
      <c r="P291" s="45"/>
      <c r="Q291" s="45" t="s">
        <v>226</v>
      </c>
      <c r="R291" s="165"/>
      <c r="S291" s="45" t="s">
        <v>67</v>
      </c>
      <c r="T291" s="64"/>
      <c r="U291" s="45" t="s">
        <v>67</v>
      </c>
      <c r="V291" s="45"/>
      <c r="W291" s="68">
        <v>46133.0</v>
      </c>
      <c r="X291" s="49" t="s">
        <v>205</v>
      </c>
      <c r="Y291" s="49" t="s">
        <v>1192</v>
      </c>
      <c r="Z291" s="40" t="s">
        <v>1796</v>
      </c>
      <c r="AA291" s="45" t="s">
        <v>74</v>
      </c>
      <c r="AB291" s="45" t="s">
        <v>67</v>
      </c>
      <c r="AC291" s="45" t="s">
        <v>135</v>
      </c>
      <c r="AD291" s="51" t="s">
        <v>76</v>
      </c>
      <c r="AE291" s="54"/>
      <c r="AF291" s="45" t="s">
        <v>67</v>
      </c>
      <c r="AG291" s="45"/>
      <c r="AH291" s="45">
        <v>0.0</v>
      </c>
      <c r="AI291" s="45"/>
      <c r="AJ291" s="45"/>
      <c r="AK291" s="45"/>
      <c r="AL291" s="45"/>
      <c r="AM291" s="45"/>
      <c r="AN291" s="45">
        <v>0.0</v>
      </c>
      <c r="AO291" s="55"/>
      <c r="AP291" s="54"/>
      <c r="AQ291" s="54"/>
      <c r="AR291" s="54"/>
      <c r="AS291" s="54"/>
      <c r="AT291" s="54"/>
    </row>
    <row r="292">
      <c r="A292" s="35" t="s">
        <v>1927</v>
      </c>
      <c r="B292" s="36" t="s">
        <v>1865</v>
      </c>
      <c r="C292" s="36" t="s">
        <v>1873</v>
      </c>
      <c r="D292" s="36" t="s">
        <v>1928</v>
      </c>
      <c r="E292" s="62" t="s">
        <v>1929</v>
      </c>
      <c r="F292" s="38" t="s">
        <v>1930</v>
      </c>
      <c r="G292" s="61">
        <v>9.43677305E8</v>
      </c>
      <c r="H292" s="40">
        <v>2779.0</v>
      </c>
      <c r="I292" s="40">
        <v>909.0</v>
      </c>
      <c r="J292" s="40" t="s">
        <v>65</v>
      </c>
      <c r="K292" s="42" t="s">
        <v>1931</v>
      </c>
      <c r="L292" s="42" t="s">
        <v>67</v>
      </c>
      <c r="M292" s="41" t="s">
        <v>1878</v>
      </c>
      <c r="N292" s="43" t="s">
        <v>1879</v>
      </c>
      <c r="O292" s="44">
        <v>0.0</v>
      </c>
      <c r="P292" s="45"/>
      <c r="Q292" s="45" t="s">
        <v>67</v>
      </c>
      <c r="R292" s="46">
        <v>2.0</v>
      </c>
      <c r="S292" s="45" t="s">
        <v>67</v>
      </c>
      <c r="T292" s="64"/>
      <c r="U292" s="45" t="s">
        <v>67</v>
      </c>
      <c r="V292" s="45"/>
      <c r="W292" s="68">
        <v>46132.0</v>
      </c>
      <c r="X292" s="49" t="s">
        <v>205</v>
      </c>
      <c r="Y292" s="49" t="s">
        <v>1631</v>
      </c>
      <c r="Z292" s="40" t="s">
        <v>1796</v>
      </c>
      <c r="AA292" s="45" t="s">
        <v>67</v>
      </c>
      <c r="AB292" s="45" t="s">
        <v>67</v>
      </c>
      <c r="AC292" s="45" t="s">
        <v>195</v>
      </c>
      <c r="AD292" s="51" t="s">
        <v>76</v>
      </c>
      <c r="AE292" s="54"/>
      <c r="AF292" s="45" t="s">
        <v>67</v>
      </c>
      <c r="AG292" s="45"/>
      <c r="AH292" s="45">
        <v>23.0</v>
      </c>
      <c r="AI292" s="45">
        <v>9.0</v>
      </c>
      <c r="AJ292" s="45"/>
      <c r="AK292" s="45"/>
      <c r="AL292" s="45"/>
      <c r="AM292" s="45"/>
      <c r="AN292" s="45">
        <v>0.0</v>
      </c>
      <c r="AO292" s="55"/>
      <c r="AP292" s="54"/>
      <c r="AQ292" s="54"/>
      <c r="AR292" s="54"/>
      <c r="AS292" s="54"/>
      <c r="AT292" s="54"/>
    </row>
    <row r="293">
      <c r="A293" s="35" t="s">
        <v>1932</v>
      </c>
      <c r="B293" s="36" t="s">
        <v>1865</v>
      </c>
      <c r="C293" s="36" t="s">
        <v>1914</v>
      </c>
      <c r="D293" s="36" t="s">
        <v>1933</v>
      </c>
      <c r="E293" s="62" t="s">
        <v>1934</v>
      </c>
      <c r="F293" s="38" t="s">
        <v>1935</v>
      </c>
      <c r="G293" s="61"/>
      <c r="H293" s="40"/>
      <c r="I293" s="40"/>
      <c r="J293" s="40" t="s">
        <v>224</v>
      </c>
      <c r="K293" s="41" t="s">
        <v>1936</v>
      </c>
      <c r="L293" s="42" t="s">
        <v>67</v>
      </c>
      <c r="M293" s="41" t="s">
        <v>1871</v>
      </c>
      <c r="N293" s="43">
        <v>0.0</v>
      </c>
      <c r="O293" s="44">
        <v>0.0</v>
      </c>
      <c r="P293" s="45"/>
      <c r="Q293" s="45" t="s">
        <v>226</v>
      </c>
      <c r="R293" s="165"/>
      <c r="S293" s="45" t="s">
        <v>67</v>
      </c>
      <c r="T293" s="64"/>
      <c r="U293" s="45" t="s">
        <v>67</v>
      </c>
      <c r="V293" s="45"/>
      <c r="W293" s="68">
        <v>46133.0</v>
      </c>
      <c r="X293" s="49" t="s">
        <v>205</v>
      </c>
      <c r="Y293" s="49" t="s">
        <v>893</v>
      </c>
      <c r="Z293" s="40" t="s">
        <v>1796</v>
      </c>
      <c r="AA293" s="45" t="s">
        <v>67</v>
      </c>
      <c r="AB293" s="45" t="s">
        <v>67</v>
      </c>
      <c r="AC293" s="45" t="s">
        <v>135</v>
      </c>
      <c r="AD293" s="51" t="s">
        <v>76</v>
      </c>
      <c r="AE293" s="54"/>
      <c r="AF293" s="45" t="s">
        <v>67</v>
      </c>
      <c r="AG293" s="45"/>
      <c r="AH293" s="45">
        <v>0.0</v>
      </c>
      <c r="AI293" s="45"/>
      <c r="AJ293" s="45"/>
      <c r="AK293" s="45"/>
      <c r="AL293" s="45"/>
      <c r="AM293" s="45"/>
      <c r="AN293" s="45">
        <v>0.0</v>
      </c>
      <c r="AO293" s="55"/>
      <c r="AP293" s="54"/>
      <c r="AQ293" s="54"/>
      <c r="AR293" s="54"/>
      <c r="AS293" s="54"/>
      <c r="AT293" s="54"/>
    </row>
    <row r="294">
      <c r="A294" s="35" t="s">
        <v>1937</v>
      </c>
      <c r="B294" s="36" t="s">
        <v>1865</v>
      </c>
      <c r="C294" s="36" t="s">
        <v>1888</v>
      </c>
      <c r="D294" s="36" t="s">
        <v>1938</v>
      </c>
      <c r="E294" s="62" t="s">
        <v>1939</v>
      </c>
      <c r="F294" s="38" t="s">
        <v>1940</v>
      </c>
      <c r="G294" s="61">
        <v>9.77772853E8</v>
      </c>
      <c r="H294" s="40">
        <v>2757.0</v>
      </c>
      <c r="I294" s="40">
        <v>885.0</v>
      </c>
      <c r="J294" s="40" t="s">
        <v>65</v>
      </c>
      <c r="K294" s="41" t="s">
        <v>1941</v>
      </c>
      <c r="L294" s="42" t="s">
        <v>74</v>
      </c>
      <c r="M294" s="41" t="s">
        <v>328</v>
      </c>
      <c r="N294" s="43" t="s">
        <v>329</v>
      </c>
      <c r="O294" s="44">
        <v>9.97795341E8</v>
      </c>
      <c r="P294" s="45"/>
      <c r="Q294" s="45" t="s">
        <v>67</v>
      </c>
      <c r="R294" s="46">
        <v>1.0</v>
      </c>
      <c r="S294" s="45" t="s">
        <v>67</v>
      </c>
      <c r="T294" s="64"/>
      <c r="U294" s="45" t="s">
        <v>67</v>
      </c>
      <c r="V294" s="45"/>
      <c r="W294" s="68">
        <v>46133.0</v>
      </c>
      <c r="X294" s="49" t="s">
        <v>205</v>
      </c>
      <c r="Y294" s="49" t="s">
        <v>893</v>
      </c>
      <c r="Z294" s="40" t="s">
        <v>1796</v>
      </c>
      <c r="AA294" s="45" t="s">
        <v>74</v>
      </c>
      <c r="AB294" s="45" t="s">
        <v>67</v>
      </c>
      <c r="AC294" s="45" t="s">
        <v>1942</v>
      </c>
      <c r="AD294" s="51" t="s">
        <v>76</v>
      </c>
      <c r="AE294" s="54"/>
      <c r="AF294" s="45" t="s">
        <v>67</v>
      </c>
      <c r="AG294" s="45"/>
      <c r="AH294" s="45">
        <v>8.0</v>
      </c>
      <c r="AI294" s="45">
        <v>5.0</v>
      </c>
      <c r="AJ294" s="45"/>
      <c r="AK294" s="45"/>
      <c r="AL294" s="45"/>
      <c r="AM294" s="45"/>
      <c r="AN294" s="45">
        <v>0.0</v>
      </c>
      <c r="AO294" s="55"/>
      <c r="AP294" s="54"/>
      <c r="AQ294" s="54"/>
      <c r="AR294" s="54"/>
      <c r="AS294" s="54"/>
      <c r="AT294" s="54"/>
    </row>
    <row r="295">
      <c r="A295" s="35" t="s">
        <v>1943</v>
      </c>
      <c r="B295" s="36" t="s">
        <v>1865</v>
      </c>
      <c r="C295" s="36" t="s">
        <v>1888</v>
      </c>
      <c r="D295" s="36" t="s">
        <v>1944</v>
      </c>
      <c r="E295" s="62" t="s">
        <v>1945</v>
      </c>
      <c r="F295" s="38" t="s">
        <v>1946</v>
      </c>
      <c r="G295" s="61">
        <v>9.33869263E8</v>
      </c>
      <c r="H295" s="40">
        <v>2758.0</v>
      </c>
      <c r="I295" s="40">
        <v>886.0</v>
      </c>
      <c r="J295" s="40" t="s">
        <v>65</v>
      </c>
      <c r="K295" s="42" t="s">
        <v>1947</v>
      </c>
      <c r="L295" s="42" t="s">
        <v>74</v>
      </c>
      <c r="M295" s="41" t="s">
        <v>328</v>
      </c>
      <c r="N295" s="43" t="s">
        <v>329</v>
      </c>
      <c r="O295" s="44">
        <v>9.97795341E8</v>
      </c>
      <c r="P295" s="45"/>
      <c r="Q295" s="45" t="s">
        <v>67</v>
      </c>
      <c r="R295" s="46">
        <v>1.0</v>
      </c>
      <c r="S295" s="45" t="s">
        <v>67</v>
      </c>
      <c r="T295" s="64"/>
      <c r="U295" s="45" t="s">
        <v>67</v>
      </c>
      <c r="V295" s="45"/>
      <c r="W295" s="68">
        <v>46133.0</v>
      </c>
      <c r="X295" s="49" t="s">
        <v>205</v>
      </c>
      <c r="Y295" s="49" t="s">
        <v>1843</v>
      </c>
      <c r="Z295" s="40" t="s">
        <v>1796</v>
      </c>
      <c r="AA295" s="45" t="s">
        <v>67</v>
      </c>
      <c r="AB295" s="45" t="s">
        <v>67</v>
      </c>
      <c r="AC295" s="45"/>
      <c r="AD295" s="51" t="s">
        <v>76</v>
      </c>
      <c r="AE295" s="54"/>
      <c r="AF295" s="45" t="s">
        <v>67</v>
      </c>
      <c r="AG295" s="45"/>
      <c r="AH295" s="45">
        <v>20.0</v>
      </c>
      <c r="AI295" s="45">
        <v>8.0</v>
      </c>
      <c r="AJ295" s="45"/>
      <c r="AK295" s="45"/>
      <c r="AL295" s="45"/>
      <c r="AM295" s="45"/>
      <c r="AN295" s="45">
        <v>0.0</v>
      </c>
      <c r="AO295" s="55"/>
      <c r="AP295" s="54"/>
      <c r="AQ295" s="54"/>
      <c r="AR295" s="54"/>
      <c r="AS295" s="54"/>
      <c r="AT295" s="54"/>
    </row>
    <row r="296">
      <c r="A296" s="35" t="s">
        <v>1948</v>
      </c>
      <c r="B296" s="36" t="s">
        <v>1865</v>
      </c>
      <c r="C296" s="36" t="s">
        <v>1873</v>
      </c>
      <c r="D296" s="36" t="s">
        <v>1949</v>
      </c>
      <c r="E296" s="62" t="s">
        <v>1950</v>
      </c>
      <c r="F296" s="38" t="s">
        <v>1951</v>
      </c>
      <c r="G296" s="61">
        <v>9.17313484E8</v>
      </c>
      <c r="H296" s="40">
        <v>2501.0</v>
      </c>
      <c r="I296" s="40">
        <v>911.0</v>
      </c>
      <c r="J296" s="40" t="s">
        <v>65</v>
      </c>
      <c r="K296" s="41" t="s">
        <v>1952</v>
      </c>
      <c r="L296" s="42" t="s">
        <v>74</v>
      </c>
      <c r="M296" s="41" t="s">
        <v>1878</v>
      </c>
      <c r="N296" s="43" t="s">
        <v>1879</v>
      </c>
      <c r="O296" s="44">
        <v>0.0</v>
      </c>
      <c r="P296" s="45"/>
      <c r="Q296" s="45" t="s">
        <v>67</v>
      </c>
      <c r="R296" s="46">
        <v>2.0</v>
      </c>
      <c r="S296" s="45" t="s">
        <v>67</v>
      </c>
      <c r="T296" s="64"/>
      <c r="U296" s="45" t="s">
        <v>67</v>
      </c>
      <c r="V296" s="45"/>
      <c r="W296" s="68">
        <v>46133.0</v>
      </c>
      <c r="X296" s="49" t="s">
        <v>205</v>
      </c>
      <c r="Y296" s="49" t="s">
        <v>1192</v>
      </c>
      <c r="Z296" s="40" t="s">
        <v>1796</v>
      </c>
      <c r="AA296" s="45" t="s">
        <v>74</v>
      </c>
      <c r="AB296" s="45" t="s">
        <v>67</v>
      </c>
      <c r="AC296" s="45" t="s">
        <v>306</v>
      </c>
      <c r="AD296" s="51" t="s">
        <v>76</v>
      </c>
      <c r="AE296" s="54"/>
      <c r="AF296" s="45" t="s">
        <v>67</v>
      </c>
      <c r="AG296" s="45"/>
      <c r="AH296" s="45">
        <v>14.0</v>
      </c>
      <c r="AI296" s="45">
        <v>8.0</v>
      </c>
      <c r="AJ296" s="45"/>
      <c r="AK296" s="45"/>
      <c r="AL296" s="45"/>
      <c r="AM296" s="45"/>
      <c r="AN296" s="45">
        <v>0.0</v>
      </c>
      <c r="AO296" s="55"/>
      <c r="AP296" s="54"/>
      <c r="AQ296" s="54"/>
      <c r="AR296" s="54"/>
      <c r="AS296" s="54"/>
      <c r="AT296" s="54"/>
    </row>
    <row r="297">
      <c r="A297" s="35" t="s">
        <v>1948</v>
      </c>
      <c r="B297" s="36" t="s">
        <v>1865</v>
      </c>
      <c r="C297" s="36" t="s">
        <v>1873</v>
      </c>
      <c r="D297" s="36" t="s">
        <v>1949</v>
      </c>
      <c r="E297" s="62" t="s">
        <v>1953</v>
      </c>
      <c r="F297" s="38" t="s">
        <v>1954</v>
      </c>
      <c r="G297" s="61">
        <v>9.81445662E8</v>
      </c>
      <c r="H297" s="40">
        <v>2499.0</v>
      </c>
      <c r="I297" s="40">
        <v>910.0</v>
      </c>
      <c r="J297" s="40" t="s">
        <v>65</v>
      </c>
      <c r="K297" s="41" t="s">
        <v>1955</v>
      </c>
      <c r="L297" s="42" t="s">
        <v>74</v>
      </c>
      <c r="M297" s="41" t="s">
        <v>1878</v>
      </c>
      <c r="N297" s="43" t="s">
        <v>1879</v>
      </c>
      <c r="O297" s="44">
        <v>0.0</v>
      </c>
      <c r="P297" s="45"/>
      <c r="Q297" s="45" t="s">
        <v>67</v>
      </c>
      <c r="R297" s="46">
        <v>2.0</v>
      </c>
      <c r="S297" s="45" t="s">
        <v>67</v>
      </c>
      <c r="T297" s="64"/>
      <c r="U297" s="45" t="s">
        <v>67</v>
      </c>
      <c r="V297" s="45"/>
      <c r="W297" s="68">
        <v>46133.0</v>
      </c>
      <c r="X297" s="49" t="s">
        <v>205</v>
      </c>
      <c r="Y297" s="49" t="s">
        <v>1192</v>
      </c>
      <c r="Z297" s="40" t="s">
        <v>1796</v>
      </c>
      <c r="AA297" s="45" t="s">
        <v>74</v>
      </c>
      <c r="AB297" s="45" t="s">
        <v>67</v>
      </c>
      <c r="AC297" s="45" t="s">
        <v>306</v>
      </c>
      <c r="AD297" s="51" t="s">
        <v>76</v>
      </c>
      <c r="AE297" s="54"/>
      <c r="AF297" s="45" t="s">
        <v>67</v>
      </c>
      <c r="AG297" s="45"/>
      <c r="AH297" s="45">
        <v>0.0</v>
      </c>
      <c r="AI297" s="45"/>
      <c r="AJ297" s="45"/>
      <c r="AK297" s="45"/>
      <c r="AL297" s="45"/>
      <c r="AM297" s="45"/>
      <c r="AN297" s="45">
        <v>0.0</v>
      </c>
      <c r="AO297" s="55"/>
      <c r="AP297" s="54"/>
      <c r="AQ297" s="54"/>
      <c r="AR297" s="54"/>
      <c r="AS297" s="54"/>
      <c r="AT297" s="54"/>
    </row>
    <row r="298">
      <c r="A298" s="35" t="s">
        <v>1956</v>
      </c>
      <c r="B298" s="36" t="s">
        <v>1865</v>
      </c>
      <c r="C298" s="36" t="s">
        <v>1873</v>
      </c>
      <c r="D298" s="36" t="s">
        <v>1957</v>
      </c>
      <c r="E298" s="62" t="s">
        <v>1958</v>
      </c>
      <c r="F298" s="38" t="s">
        <v>1959</v>
      </c>
      <c r="G298" s="61">
        <v>9.40058342E8</v>
      </c>
      <c r="H298" s="40">
        <v>2502.0</v>
      </c>
      <c r="I298" s="40">
        <v>912.0</v>
      </c>
      <c r="J298" s="40" t="s">
        <v>65</v>
      </c>
      <c r="K298" s="42" t="s">
        <v>1960</v>
      </c>
      <c r="L298" s="42" t="s">
        <v>67</v>
      </c>
      <c r="M298" s="41" t="s">
        <v>1878</v>
      </c>
      <c r="N298" s="43" t="s">
        <v>1879</v>
      </c>
      <c r="O298" s="44">
        <v>0.0</v>
      </c>
      <c r="P298" s="45"/>
      <c r="Q298" s="45" t="s">
        <v>67</v>
      </c>
      <c r="R298" s="46">
        <v>2.0</v>
      </c>
      <c r="S298" s="45" t="s">
        <v>67</v>
      </c>
      <c r="T298" s="64"/>
      <c r="U298" s="45" t="s">
        <v>67</v>
      </c>
      <c r="V298" s="45"/>
      <c r="W298" s="68">
        <v>46133.0</v>
      </c>
      <c r="X298" s="49" t="s">
        <v>205</v>
      </c>
      <c r="Y298" s="49" t="s">
        <v>1370</v>
      </c>
      <c r="Z298" s="40" t="s">
        <v>1796</v>
      </c>
      <c r="AA298" s="45" t="s">
        <v>74</v>
      </c>
      <c r="AB298" s="45" t="s">
        <v>67</v>
      </c>
      <c r="AC298" s="45" t="s">
        <v>195</v>
      </c>
      <c r="AD298" s="51" t="s">
        <v>76</v>
      </c>
      <c r="AE298" s="54"/>
      <c r="AF298" s="45" t="s">
        <v>67</v>
      </c>
      <c r="AG298" s="45"/>
      <c r="AH298" s="45">
        <v>23.0</v>
      </c>
      <c r="AI298" s="45">
        <v>25.0</v>
      </c>
      <c r="AJ298" s="45"/>
      <c r="AK298" s="45"/>
      <c r="AL298" s="45"/>
      <c r="AM298" s="45"/>
      <c r="AN298" s="45">
        <v>0.0</v>
      </c>
      <c r="AO298" s="55"/>
      <c r="AP298" s="54"/>
      <c r="AQ298" s="54"/>
      <c r="AR298" s="54"/>
      <c r="AS298" s="54"/>
      <c r="AT298" s="54"/>
    </row>
    <row r="299">
      <c r="A299" s="35" t="s">
        <v>1961</v>
      </c>
      <c r="B299" s="36" t="s">
        <v>1865</v>
      </c>
      <c r="C299" s="36" t="s">
        <v>1873</v>
      </c>
      <c r="D299" s="36" t="s">
        <v>1962</v>
      </c>
      <c r="E299" s="62" t="s">
        <v>1963</v>
      </c>
      <c r="F299" s="38" t="s">
        <v>1964</v>
      </c>
      <c r="G299" s="61">
        <v>9.55259225E8</v>
      </c>
      <c r="H299" s="40">
        <v>2503.0</v>
      </c>
      <c r="I299" s="40">
        <v>913.0</v>
      </c>
      <c r="J299" s="40" t="s">
        <v>65</v>
      </c>
      <c r="K299" s="41" t="s">
        <v>1965</v>
      </c>
      <c r="L299" s="42" t="s">
        <v>74</v>
      </c>
      <c r="M299" s="41" t="s">
        <v>1878</v>
      </c>
      <c r="N299" s="43" t="s">
        <v>1879</v>
      </c>
      <c r="O299" s="44">
        <v>0.0</v>
      </c>
      <c r="P299" s="45"/>
      <c r="Q299" s="45" t="s">
        <v>67</v>
      </c>
      <c r="R299" s="46">
        <v>2.0</v>
      </c>
      <c r="S299" s="45" t="s">
        <v>67</v>
      </c>
      <c r="T299" s="64"/>
      <c r="U299" s="45" t="s">
        <v>67</v>
      </c>
      <c r="V299" s="45"/>
      <c r="W299" s="63" t="s">
        <v>1966</v>
      </c>
      <c r="X299" s="49" t="s">
        <v>205</v>
      </c>
      <c r="Y299" s="49" t="s">
        <v>1370</v>
      </c>
      <c r="Z299" s="40" t="s">
        <v>1796</v>
      </c>
      <c r="AA299" s="45" t="s">
        <v>74</v>
      </c>
      <c r="AB299" s="45" t="s">
        <v>67</v>
      </c>
      <c r="AC299" s="45" t="s">
        <v>135</v>
      </c>
      <c r="AD299" s="51" t="s">
        <v>76</v>
      </c>
      <c r="AE299" s="54"/>
      <c r="AF299" s="45" t="s">
        <v>67</v>
      </c>
      <c r="AG299" s="45"/>
      <c r="AH299" s="45">
        <v>30.0</v>
      </c>
      <c r="AI299" s="45">
        <v>19.0</v>
      </c>
      <c r="AJ299" s="45"/>
      <c r="AK299" s="45"/>
      <c r="AL299" s="45"/>
      <c r="AM299" s="45"/>
      <c r="AN299" s="45">
        <v>0.0</v>
      </c>
      <c r="AO299" s="55"/>
      <c r="AP299" s="54"/>
      <c r="AQ299" s="54"/>
      <c r="AR299" s="54"/>
      <c r="AS299" s="54"/>
      <c r="AT299" s="54"/>
    </row>
    <row r="300">
      <c r="A300" s="35" t="s">
        <v>1967</v>
      </c>
      <c r="B300" s="36" t="s">
        <v>1865</v>
      </c>
      <c r="C300" s="36" t="s">
        <v>1902</v>
      </c>
      <c r="D300" s="36" t="s">
        <v>1968</v>
      </c>
      <c r="E300" s="62" t="s">
        <v>1969</v>
      </c>
      <c r="F300" s="38" t="s">
        <v>1970</v>
      </c>
      <c r="G300" s="61">
        <v>9.18519634E8</v>
      </c>
      <c r="H300" s="40">
        <v>2764.0</v>
      </c>
      <c r="I300" s="40">
        <v>892.0</v>
      </c>
      <c r="J300" s="40" t="s">
        <v>65</v>
      </c>
      <c r="K300" s="42" t="s">
        <v>1971</v>
      </c>
      <c r="L300" s="42" t="s">
        <v>67</v>
      </c>
      <c r="M300" s="41" t="s">
        <v>1871</v>
      </c>
      <c r="N300" s="43">
        <v>0.0</v>
      </c>
      <c r="O300" s="44">
        <v>0.0</v>
      </c>
      <c r="P300" s="45" t="s">
        <v>74</v>
      </c>
      <c r="Q300" s="45" t="s">
        <v>226</v>
      </c>
      <c r="R300" s="165"/>
      <c r="S300" s="45" t="s">
        <v>67</v>
      </c>
      <c r="T300" s="64"/>
      <c r="U300" s="45" t="s">
        <v>67</v>
      </c>
      <c r="V300" s="45"/>
      <c r="W300" s="68">
        <v>46133.0</v>
      </c>
      <c r="X300" s="49" t="s">
        <v>1972</v>
      </c>
      <c r="Y300" s="49" t="s">
        <v>1370</v>
      </c>
      <c r="Z300" s="40" t="s">
        <v>1973</v>
      </c>
      <c r="AA300" s="45" t="s">
        <v>74</v>
      </c>
      <c r="AB300" s="45" t="s">
        <v>67</v>
      </c>
      <c r="AC300" s="45" t="s">
        <v>135</v>
      </c>
      <c r="AD300" s="51" t="s">
        <v>76</v>
      </c>
      <c r="AE300" s="54"/>
      <c r="AF300" s="45" t="s">
        <v>67</v>
      </c>
      <c r="AG300" s="45"/>
      <c r="AH300" s="45">
        <v>37.0</v>
      </c>
      <c r="AI300" s="45"/>
      <c r="AJ300" s="45"/>
      <c r="AK300" s="45"/>
      <c r="AL300" s="45"/>
      <c r="AM300" s="45"/>
      <c r="AN300" s="45">
        <v>0.0</v>
      </c>
      <c r="AO300" s="55"/>
      <c r="AP300" s="54"/>
      <c r="AQ300" s="54"/>
      <c r="AR300" s="54"/>
      <c r="AS300" s="54"/>
      <c r="AT300" s="54"/>
    </row>
    <row r="301">
      <c r="A301" s="35" t="s">
        <v>1974</v>
      </c>
      <c r="B301" s="36" t="s">
        <v>1865</v>
      </c>
      <c r="C301" s="36" t="s">
        <v>1975</v>
      </c>
      <c r="D301" s="36" t="s">
        <v>1976</v>
      </c>
      <c r="E301" s="62" t="s">
        <v>1977</v>
      </c>
      <c r="F301" s="38" t="s">
        <v>1978</v>
      </c>
      <c r="G301" s="61">
        <v>9.25722988E8</v>
      </c>
      <c r="H301" s="40">
        <v>2759.0</v>
      </c>
      <c r="I301" s="40">
        <v>887.0</v>
      </c>
      <c r="J301" s="40" t="s">
        <v>65</v>
      </c>
      <c r="K301" s="41" t="s">
        <v>1979</v>
      </c>
      <c r="L301" s="42" t="s">
        <v>67</v>
      </c>
      <c r="M301" s="41" t="s">
        <v>1871</v>
      </c>
      <c r="N301" s="43">
        <v>0.0</v>
      </c>
      <c r="O301" s="44">
        <v>0.0</v>
      </c>
      <c r="P301" s="45" t="s">
        <v>74</v>
      </c>
      <c r="Q301" s="45" t="s">
        <v>226</v>
      </c>
      <c r="R301" s="165"/>
      <c r="S301" s="45" t="s">
        <v>67</v>
      </c>
      <c r="T301" s="64"/>
      <c r="U301" s="45" t="s">
        <v>67</v>
      </c>
      <c r="V301" s="45"/>
      <c r="W301" s="68">
        <v>46133.0</v>
      </c>
      <c r="X301" s="49" t="s">
        <v>1980</v>
      </c>
      <c r="Y301" s="49" t="s">
        <v>1603</v>
      </c>
      <c r="Z301" s="40" t="s">
        <v>1973</v>
      </c>
      <c r="AA301" s="45" t="s">
        <v>74</v>
      </c>
      <c r="AB301" s="45" t="s">
        <v>67</v>
      </c>
      <c r="AC301" s="45" t="s">
        <v>475</v>
      </c>
      <c r="AD301" s="51" t="s">
        <v>76</v>
      </c>
      <c r="AE301" s="54"/>
      <c r="AF301" s="45" t="s">
        <v>67</v>
      </c>
      <c r="AG301" s="45"/>
      <c r="AH301" s="45">
        <v>40.0</v>
      </c>
      <c r="AI301" s="45"/>
      <c r="AJ301" s="45"/>
      <c r="AK301" s="45"/>
      <c r="AL301" s="45"/>
      <c r="AM301" s="45"/>
      <c r="AN301" s="45">
        <v>0.0</v>
      </c>
      <c r="AO301" s="55"/>
      <c r="AP301" s="54"/>
      <c r="AQ301" s="54"/>
      <c r="AR301" s="54"/>
      <c r="AS301" s="54"/>
      <c r="AT301" s="54"/>
    </row>
    <row r="302">
      <c r="A302" s="35" t="s">
        <v>1981</v>
      </c>
      <c r="B302" s="36" t="s">
        <v>1865</v>
      </c>
      <c r="C302" s="36" t="s">
        <v>1902</v>
      </c>
      <c r="D302" s="36" t="s">
        <v>1982</v>
      </c>
      <c r="E302" s="62" t="s">
        <v>1983</v>
      </c>
      <c r="F302" s="38" t="s">
        <v>1984</v>
      </c>
      <c r="G302" s="61">
        <v>9.74202866E8</v>
      </c>
      <c r="H302" s="40">
        <v>2519.0</v>
      </c>
      <c r="I302" s="40">
        <v>931.0</v>
      </c>
      <c r="J302" s="40" t="s">
        <v>65</v>
      </c>
      <c r="K302" s="41" t="s">
        <v>1985</v>
      </c>
      <c r="L302" s="42" t="s">
        <v>67</v>
      </c>
      <c r="M302" s="41" t="s">
        <v>1871</v>
      </c>
      <c r="N302" s="43">
        <v>0.0</v>
      </c>
      <c r="O302" s="44">
        <v>0.0</v>
      </c>
      <c r="P302" s="45" t="s">
        <v>74</v>
      </c>
      <c r="Q302" s="45" t="s">
        <v>226</v>
      </c>
      <c r="R302" s="165"/>
      <c r="S302" s="45" t="s">
        <v>67</v>
      </c>
      <c r="T302" s="64"/>
      <c r="U302" s="45" t="s">
        <v>67</v>
      </c>
      <c r="V302" s="45"/>
      <c r="W302" s="68">
        <v>46133.0</v>
      </c>
      <c r="X302" s="49" t="s">
        <v>1986</v>
      </c>
      <c r="Y302" s="49" t="s">
        <v>1370</v>
      </c>
      <c r="Z302" s="40" t="s">
        <v>1973</v>
      </c>
      <c r="AA302" s="45" t="s">
        <v>74</v>
      </c>
      <c r="AB302" s="45" t="s">
        <v>67</v>
      </c>
      <c r="AC302" s="45" t="s">
        <v>306</v>
      </c>
      <c r="AD302" s="51" t="s">
        <v>76</v>
      </c>
      <c r="AE302" s="54"/>
      <c r="AF302" s="45" t="s">
        <v>67</v>
      </c>
      <c r="AG302" s="45"/>
      <c r="AH302" s="45">
        <v>25.0</v>
      </c>
      <c r="AI302" s="45"/>
      <c r="AJ302" s="45"/>
      <c r="AK302" s="45"/>
      <c r="AL302" s="45"/>
      <c r="AM302" s="45"/>
      <c r="AN302" s="45">
        <v>0.0</v>
      </c>
      <c r="AO302" s="55"/>
      <c r="AP302" s="54"/>
      <c r="AQ302" s="54"/>
      <c r="AR302" s="54"/>
      <c r="AS302" s="54"/>
      <c r="AT302" s="54"/>
    </row>
    <row r="303">
      <c r="A303" s="35" t="s">
        <v>1987</v>
      </c>
      <c r="B303" s="36" t="s">
        <v>1865</v>
      </c>
      <c r="C303" s="36" t="s">
        <v>1902</v>
      </c>
      <c r="D303" s="36" t="s">
        <v>1988</v>
      </c>
      <c r="E303" s="62" t="s">
        <v>1989</v>
      </c>
      <c r="F303" s="38" t="s">
        <v>1990</v>
      </c>
      <c r="G303" s="61">
        <v>9.42527335E8</v>
      </c>
      <c r="H303" s="40">
        <v>2765.0</v>
      </c>
      <c r="I303" s="40">
        <v>893.0</v>
      </c>
      <c r="J303" s="40" t="s">
        <v>65</v>
      </c>
      <c r="K303" s="42" t="s">
        <v>1991</v>
      </c>
      <c r="L303" s="42" t="s">
        <v>67</v>
      </c>
      <c r="M303" s="41" t="s">
        <v>1871</v>
      </c>
      <c r="N303" s="43">
        <v>0.0</v>
      </c>
      <c r="O303" s="44">
        <v>0.0</v>
      </c>
      <c r="P303" s="45" t="s">
        <v>74</v>
      </c>
      <c r="Q303" s="45" t="s">
        <v>226</v>
      </c>
      <c r="R303" s="46">
        <v>2.0</v>
      </c>
      <c r="S303" s="45" t="s">
        <v>67</v>
      </c>
      <c r="T303" s="64"/>
      <c r="U303" s="45" t="s">
        <v>67</v>
      </c>
      <c r="V303" s="45"/>
      <c r="W303" s="68">
        <v>46133.0</v>
      </c>
      <c r="X303" s="49" t="s">
        <v>1992</v>
      </c>
      <c r="Y303" s="49" t="s">
        <v>1370</v>
      </c>
      <c r="Z303" s="40" t="s">
        <v>1973</v>
      </c>
      <c r="AA303" s="45" t="s">
        <v>74</v>
      </c>
      <c r="AB303" s="45" t="s">
        <v>67</v>
      </c>
      <c r="AC303" s="45" t="s">
        <v>306</v>
      </c>
      <c r="AD303" s="51" t="s">
        <v>76</v>
      </c>
      <c r="AE303" s="54"/>
      <c r="AF303" s="45" t="s">
        <v>67</v>
      </c>
      <c r="AG303" s="45"/>
      <c r="AH303" s="45">
        <v>54.0</v>
      </c>
      <c r="AI303" s="45"/>
      <c r="AJ303" s="45"/>
      <c r="AK303" s="45"/>
      <c r="AL303" s="45"/>
      <c r="AM303" s="45"/>
      <c r="AN303" s="45">
        <v>0.0</v>
      </c>
      <c r="AO303" s="55"/>
      <c r="AP303" s="54"/>
      <c r="AQ303" s="54"/>
      <c r="AR303" s="54"/>
      <c r="AS303" s="54"/>
      <c r="AT303" s="54"/>
    </row>
    <row r="304">
      <c r="A304" s="35" t="s">
        <v>1987</v>
      </c>
      <c r="B304" s="36" t="s">
        <v>1865</v>
      </c>
      <c r="C304" s="36" t="s">
        <v>1902</v>
      </c>
      <c r="D304" s="36" t="s">
        <v>1988</v>
      </c>
      <c r="E304" s="62" t="s">
        <v>1993</v>
      </c>
      <c r="F304" s="38" t="s">
        <v>1994</v>
      </c>
      <c r="G304" s="61">
        <v>9.04435653E8</v>
      </c>
      <c r="H304" s="40"/>
      <c r="I304" s="40"/>
      <c r="J304" s="40" t="s">
        <v>65</v>
      </c>
      <c r="K304" s="41" t="s">
        <v>1995</v>
      </c>
      <c r="L304" s="42" t="s">
        <v>67</v>
      </c>
      <c r="M304" s="41" t="s">
        <v>1871</v>
      </c>
      <c r="N304" s="43">
        <v>0.0</v>
      </c>
      <c r="O304" s="44">
        <v>0.0</v>
      </c>
      <c r="P304" s="45" t="s">
        <v>74</v>
      </c>
      <c r="Q304" s="45" t="s">
        <v>226</v>
      </c>
      <c r="R304" s="46">
        <v>2.0</v>
      </c>
      <c r="S304" s="45" t="s">
        <v>67</v>
      </c>
      <c r="T304" s="64"/>
      <c r="U304" s="45" t="s">
        <v>67</v>
      </c>
      <c r="V304" s="45"/>
      <c r="W304" s="68">
        <v>46133.0</v>
      </c>
      <c r="X304" s="49" t="s">
        <v>1992</v>
      </c>
      <c r="Y304" s="49" t="s">
        <v>1603</v>
      </c>
      <c r="Z304" s="40" t="s">
        <v>1973</v>
      </c>
      <c r="AA304" s="45" t="s">
        <v>74</v>
      </c>
      <c r="AB304" s="45" t="s">
        <v>67</v>
      </c>
      <c r="AC304" s="45" t="s">
        <v>306</v>
      </c>
      <c r="AD304" s="51" t="s">
        <v>76</v>
      </c>
      <c r="AE304" s="54"/>
      <c r="AF304" s="45" t="s">
        <v>67</v>
      </c>
      <c r="AG304" s="45"/>
      <c r="AH304" s="45">
        <v>54.0</v>
      </c>
      <c r="AI304" s="45"/>
      <c r="AJ304" s="45"/>
      <c r="AK304" s="45"/>
      <c r="AL304" s="45"/>
      <c r="AM304" s="45"/>
      <c r="AN304" s="45">
        <v>0.0</v>
      </c>
      <c r="AO304" s="55"/>
      <c r="AP304" s="54"/>
      <c r="AQ304" s="54"/>
      <c r="AR304" s="54"/>
      <c r="AS304" s="54"/>
      <c r="AT304" s="54"/>
    </row>
    <row r="305">
      <c r="A305" s="35" t="s">
        <v>1996</v>
      </c>
      <c r="B305" s="36" t="s">
        <v>1865</v>
      </c>
      <c r="C305" s="36" t="s">
        <v>1873</v>
      </c>
      <c r="D305" s="36" t="s">
        <v>1988</v>
      </c>
      <c r="E305" s="62" t="s">
        <v>1997</v>
      </c>
      <c r="F305" s="38" t="s">
        <v>1998</v>
      </c>
      <c r="G305" s="61">
        <v>9.89643672E8</v>
      </c>
      <c r="H305" s="40">
        <v>2504.0</v>
      </c>
      <c r="I305" s="40">
        <v>914.0</v>
      </c>
      <c r="J305" s="40" t="s">
        <v>65</v>
      </c>
      <c r="K305" s="41" t="s">
        <v>1999</v>
      </c>
      <c r="L305" s="42" t="s">
        <v>67</v>
      </c>
      <c r="M305" s="41" t="s">
        <v>1878</v>
      </c>
      <c r="N305" s="43" t="s">
        <v>1879</v>
      </c>
      <c r="O305" s="59">
        <v>9.45330112E8</v>
      </c>
      <c r="P305" s="45" t="s">
        <v>74</v>
      </c>
      <c r="Q305" s="45" t="s">
        <v>67</v>
      </c>
      <c r="R305" s="165"/>
      <c r="S305" s="45" t="s">
        <v>67</v>
      </c>
      <c r="T305" s="64"/>
      <c r="U305" s="45" t="s">
        <v>67</v>
      </c>
      <c r="V305" s="45"/>
      <c r="W305" s="68">
        <v>46133.0</v>
      </c>
      <c r="X305" s="49" t="s">
        <v>2000</v>
      </c>
      <c r="Y305" s="49" t="s">
        <v>1603</v>
      </c>
      <c r="Z305" s="40" t="s">
        <v>1973</v>
      </c>
      <c r="AA305" s="45" t="s">
        <v>74</v>
      </c>
      <c r="AB305" s="45" t="s">
        <v>67</v>
      </c>
      <c r="AC305" s="45" t="s">
        <v>86</v>
      </c>
      <c r="AD305" s="51" t="s">
        <v>76</v>
      </c>
      <c r="AE305" s="54"/>
      <c r="AF305" s="45" t="s">
        <v>67</v>
      </c>
      <c r="AG305" s="45"/>
      <c r="AH305" s="45">
        <v>47.0</v>
      </c>
      <c r="AI305" s="45"/>
      <c r="AJ305" s="45"/>
      <c r="AK305" s="45"/>
      <c r="AL305" s="45"/>
      <c r="AM305" s="45"/>
      <c r="AN305" s="45">
        <v>0.0</v>
      </c>
      <c r="AO305" s="55"/>
      <c r="AP305" s="54"/>
      <c r="AQ305" s="54"/>
      <c r="AR305" s="54"/>
      <c r="AS305" s="54"/>
      <c r="AT305" s="54"/>
    </row>
    <row r="306">
      <c r="A306" s="35" t="s">
        <v>1996</v>
      </c>
      <c r="B306" s="36" t="s">
        <v>1865</v>
      </c>
      <c r="C306" s="36" t="s">
        <v>1873</v>
      </c>
      <c r="D306" s="36" t="s">
        <v>1988</v>
      </c>
      <c r="E306" s="62" t="s">
        <v>2001</v>
      </c>
      <c r="F306" s="38" t="s">
        <v>2002</v>
      </c>
      <c r="G306" s="61">
        <v>9.33689072E8</v>
      </c>
      <c r="H306" s="40">
        <v>2505.0</v>
      </c>
      <c r="I306" s="40">
        <v>915.0</v>
      </c>
      <c r="J306" s="40" t="s">
        <v>65</v>
      </c>
      <c r="K306" s="42" t="s">
        <v>2003</v>
      </c>
      <c r="L306" s="42" t="s">
        <v>67</v>
      </c>
      <c r="M306" s="41" t="s">
        <v>1878</v>
      </c>
      <c r="N306" s="43" t="s">
        <v>1879</v>
      </c>
      <c r="O306" s="59">
        <v>9.45330112E8</v>
      </c>
      <c r="P306" s="45" t="s">
        <v>74</v>
      </c>
      <c r="Q306" s="45" t="s">
        <v>67</v>
      </c>
      <c r="R306" s="165"/>
      <c r="S306" s="45" t="s">
        <v>67</v>
      </c>
      <c r="T306" s="64"/>
      <c r="U306" s="45" t="s">
        <v>67</v>
      </c>
      <c r="V306" s="45"/>
      <c r="W306" s="68">
        <v>46133.0</v>
      </c>
      <c r="X306" s="49" t="s">
        <v>2000</v>
      </c>
      <c r="Y306" s="49" t="s">
        <v>1603</v>
      </c>
      <c r="Z306" s="40" t="s">
        <v>1973</v>
      </c>
      <c r="AA306" s="45" t="s">
        <v>74</v>
      </c>
      <c r="AB306" s="45" t="s">
        <v>67</v>
      </c>
      <c r="AC306" s="45" t="s">
        <v>86</v>
      </c>
      <c r="AD306" s="51" t="s">
        <v>76</v>
      </c>
      <c r="AE306" s="54"/>
      <c r="AF306" s="45" t="s">
        <v>67</v>
      </c>
      <c r="AG306" s="45"/>
      <c r="AH306" s="45">
        <v>47.0</v>
      </c>
      <c r="AI306" s="45"/>
      <c r="AJ306" s="45"/>
      <c r="AK306" s="45"/>
      <c r="AL306" s="45"/>
      <c r="AM306" s="45"/>
      <c r="AN306" s="45">
        <v>0.0</v>
      </c>
      <c r="AO306" s="55"/>
      <c r="AP306" s="54"/>
      <c r="AQ306" s="54"/>
      <c r="AR306" s="54"/>
      <c r="AS306" s="54"/>
      <c r="AT306" s="54"/>
    </row>
    <row r="307">
      <c r="A307" s="35" t="s">
        <v>2004</v>
      </c>
      <c r="B307" s="36" t="s">
        <v>1865</v>
      </c>
      <c r="C307" s="36" t="s">
        <v>1873</v>
      </c>
      <c r="D307" s="36" t="s">
        <v>2005</v>
      </c>
      <c r="E307" s="62" t="s">
        <v>2006</v>
      </c>
      <c r="F307" s="38" t="s">
        <v>2007</v>
      </c>
      <c r="G307" s="61">
        <v>9.21222914E8</v>
      </c>
      <c r="H307" s="40">
        <v>2506.0</v>
      </c>
      <c r="I307" s="40">
        <v>916.0</v>
      </c>
      <c r="J307" s="40" t="s">
        <v>65</v>
      </c>
      <c r="K307" s="41" t="s">
        <v>2008</v>
      </c>
      <c r="L307" s="42" t="s">
        <v>67</v>
      </c>
      <c r="M307" s="41" t="s">
        <v>1878</v>
      </c>
      <c r="N307" s="43" t="s">
        <v>1879</v>
      </c>
      <c r="O307" s="59">
        <v>9.45330112E8</v>
      </c>
      <c r="P307" s="45" t="s">
        <v>74</v>
      </c>
      <c r="Q307" s="45" t="s">
        <v>67</v>
      </c>
      <c r="R307" s="46">
        <v>2.0</v>
      </c>
      <c r="S307" s="45" t="s">
        <v>67</v>
      </c>
      <c r="T307" s="64"/>
      <c r="U307" s="45" t="s">
        <v>67</v>
      </c>
      <c r="V307" s="45"/>
      <c r="W307" s="68">
        <v>46133.0</v>
      </c>
      <c r="X307" s="49" t="s">
        <v>2009</v>
      </c>
      <c r="Y307" s="49" t="s">
        <v>1603</v>
      </c>
      <c r="Z307" s="40" t="s">
        <v>1973</v>
      </c>
      <c r="AA307" s="45" t="s">
        <v>74</v>
      </c>
      <c r="AB307" s="45" t="s">
        <v>67</v>
      </c>
      <c r="AC307" s="45" t="s">
        <v>86</v>
      </c>
      <c r="AD307" s="51" t="s">
        <v>76</v>
      </c>
      <c r="AE307" s="54"/>
      <c r="AF307" s="45" t="s">
        <v>67</v>
      </c>
      <c r="AG307" s="45"/>
      <c r="AH307" s="45">
        <v>36.0</v>
      </c>
      <c r="AI307" s="45"/>
      <c r="AJ307" s="45"/>
      <c r="AK307" s="45"/>
      <c r="AL307" s="45"/>
      <c r="AM307" s="45"/>
      <c r="AN307" s="45">
        <v>0.0</v>
      </c>
      <c r="AO307" s="55"/>
      <c r="AP307" s="54"/>
      <c r="AQ307" s="54"/>
      <c r="AR307" s="54"/>
      <c r="AS307" s="54"/>
      <c r="AT307" s="54"/>
    </row>
    <row r="308">
      <c r="A308" s="35" t="s">
        <v>2004</v>
      </c>
      <c r="B308" s="36" t="s">
        <v>1865</v>
      </c>
      <c r="C308" s="36" t="s">
        <v>1873</v>
      </c>
      <c r="D308" s="36" t="s">
        <v>2005</v>
      </c>
      <c r="E308" s="62" t="s">
        <v>2010</v>
      </c>
      <c r="F308" s="38" t="s">
        <v>2011</v>
      </c>
      <c r="G308" s="61">
        <v>9.45483108E8</v>
      </c>
      <c r="H308" s="40">
        <v>2507.0</v>
      </c>
      <c r="I308" s="40">
        <v>917.0</v>
      </c>
      <c r="J308" s="40" t="s">
        <v>65</v>
      </c>
      <c r="K308" s="42" t="s">
        <v>2012</v>
      </c>
      <c r="L308" s="42" t="s">
        <v>67</v>
      </c>
      <c r="M308" s="41" t="s">
        <v>1878</v>
      </c>
      <c r="N308" s="43" t="s">
        <v>1879</v>
      </c>
      <c r="O308" s="59">
        <v>9.45330112E8</v>
      </c>
      <c r="P308" s="45" t="s">
        <v>74</v>
      </c>
      <c r="Q308" s="45" t="s">
        <v>67</v>
      </c>
      <c r="R308" s="46">
        <v>2.0</v>
      </c>
      <c r="S308" s="45" t="s">
        <v>67</v>
      </c>
      <c r="T308" s="64"/>
      <c r="U308" s="45" t="s">
        <v>67</v>
      </c>
      <c r="V308" s="45"/>
      <c r="W308" s="68">
        <v>46133.0</v>
      </c>
      <c r="X308" s="49" t="s">
        <v>2009</v>
      </c>
      <c r="Y308" s="49" t="s">
        <v>1603</v>
      </c>
      <c r="Z308" s="40" t="s">
        <v>1973</v>
      </c>
      <c r="AA308" s="45" t="s">
        <v>74</v>
      </c>
      <c r="AB308" s="45" t="s">
        <v>67</v>
      </c>
      <c r="AC308" s="45" t="s">
        <v>86</v>
      </c>
      <c r="AD308" s="51" t="s">
        <v>76</v>
      </c>
      <c r="AE308" s="54"/>
      <c r="AF308" s="45" t="s">
        <v>67</v>
      </c>
      <c r="AG308" s="45"/>
      <c r="AH308" s="45">
        <v>36.0</v>
      </c>
      <c r="AI308" s="45"/>
      <c r="AJ308" s="45"/>
      <c r="AK308" s="45"/>
      <c r="AL308" s="45"/>
      <c r="AM308" s="45"/>
      <c r="AN308" s="45">
        <v>0.0</v>
      </c>
      <c r="AO308" s="55"/>
      <c r="AP308" s="54"/>
      <c r="AQ308" s="54"/>
      <c r="AR308" s="54"/>
      <c r="AS308" s="54"/>
      <c r="AT308" s="54"/>
    </row>
    <row r="309">
      <c r="A309" s="35" t="s">
        <v>2013</v>
      </c>
      <c r="B309" s="36" t="s">
        <v>1865</v>
      </c>
      <c r="C309" s="36" t="s">
        <v>1873</v>
      </c>
      <c r="D309" s="36" t="s">
        <v>2014</v>
      </c>
      <c r="E309" s="62" t="s">
        <v>2015</v>
      </c>
      <c r="F309" s="38" t="s">
        <v>2016</v>
      </c>
      <c r="G309" s="61">
        <v>9.57880497E8</v>
      </c>
      <c r="H309" s="40">
        <v>2804.0</v>
      </c>
      <c r="I309" s="40">
        <v>918.0</v>
      </c>
      <c r="J309" s="40" t="s">
        <v>65</v>
      </c>
      <c r="K309" s="41" t="s">
        <v>2017</v>
      </c>
      <c r="L309" s="42" t="s">
        <v>67</v>
      </c>
      <c r="M309" s="41" t="s">
        <v>1878</v>
      </c>
      <c r="N309" s="43" t="s">
        <v>1879</v>
      </c>
      <c r="O309" s="59">
        <v>9.45330112E8</v>
      </c>
      <c r="P309" s="45" t="s">
        <v>74</v>
      </c>
      <c r="Q309" s="45" t="s">
        <v>67</v>
      </c>
      <c r="R309" s="46">
        <v>2.0</v>
      </c>
      <c r="S309" s="45" t="s">
        <v>67</v>
      </c>
      <c r="T309" s="64"/>
      <c r="U309" s="45" t="s">
        <v>67</v>
      </c>
      <c r="V309" s="45"/>
      <c r="W309" s="68">
        <v>46133.0</v>
      </c>
      <c r="X309" s="49" t="s">
        <v>2018</v>
      </c>
      <c r="Y309" s="49" t="s">
        <v>1603</v>
      </c>
      <c r="Z309" s="40" t="s">
        <v>1973</v>
      </c>
      <c r="AA309" s="45" t="s">
        <v>74</v>
      </c>
      <c r="AB309" s="45" t="s">
        <v>67</v>
      </c>
      <c r="AC309" s="45" t="s">
        <v>287</v>
      </c>
      <c r="AD309" s="51" t="s">
        <v>76</v>
      </c>
      <c r="AE309" s="54"/>
      <c r="AF309" s="45" t="s">
        <v>67</v>
      </c>
      <c r="AG309" s="45"/>
      <c r="AH309" s="45">
        <v>15.0</v>
      </c>
      <c r="AI309" s="45"/>
      <c r="AJ309" s="45"/>
      <c r="AK309" s="45"/>
      <c r="AL309" s="45"/>
      <c r="AM309" s="45"/>
      <c r="AN309" s="45">
        <v>0.0</v>
      </c>
      <c r="AO309" s="55"/>
      <c r="AP309" s="54"/>
      <c r="AQ309" s="54"/>
      <c r="AR309" s="54"/>
      <c r="AS309" s="54"/>
      <c r="AT309" s="54"/>
    </row>
    <row r="310">
      <c r="A310" s="35" t="s">
        <v>2019</v>
      </c>
      <c r="B310" s="36" t="s">
        <v>1865</v>
      </c>
      <c r="C310" s="36" t="s">
        <v>1902</v>
      </c>
      <c r="D310" s="36" t="s">
        <v>2020</v>
      </c>
      <c r="E310" s="62" t="s">
        <v>2021</v>
      </c>
      <c r="F310" s="38" t="s">
        <v>2022</v>
      </c>
      <c r="G310" s="61">
        <v>9.86412743E8</v>
      </c>
      <c r="H310" s="40">
        <v>2767.0</v>
      </c>
      <c r="I310" s="40">
        <v>895.0</v>
      </c>
      <c r="J310" s="40" t="s">
        <v>65</v>
      </c>
      <c r="K310" s="41" t="s">
        <v>2023</v>
      </c>
      <c r="L310" s="42" t="s">
        <v>67</v>
      </c>
      <c r="M310" s="41" t="s">
        <v>1871</v>
      </c>
      <c r="N310" s="43">
        <v>0.0</v>
      </c>
      <c r="O310" s="44">
        <v>0.0</v>
      </c>
      <c r="P310" s="45" t="s">
        <v>74</v>
      </c>
      <c r="Q310" s="45" t="s">
        <v>226</v>
      </c>
      <c r="R310" s="165"/>
      <c r="S310" s="45" t="s">
        <v>67</v>
      </c>
      <c r="T310" s="64"/>
      <c r="U310" s="45" t="s">
        <v>67</v>
      </c>
      <c r="V310" s="45"/>
      <c r="W310" s="68">
        <v>46133.0</v>
      </c>
      <c r="X310" s="49" t="s">
        <v>2024</v>
      </c>
      <c r="Y310" s="49" t="s">
        <v>1603</v>
      </c>
      <c r="Z310" s="40" t="s">
        <v>1973</v>
      </c>
      <c r="AA310" s="45" t="s">
        <v>74</v>
      </c>
      <c r="AB310" s="45" t="s">
        <v>67</v>
      </c>
      <c r="AC310" s="45" t="s">
        <v>620</v>
      </c>
      <c r="AD310" s="51" t="s">
        <v>76</v>
      </c>
      <c r="AE310" s="54"/>
      <c r="AF310" s="45" t="s">
        <v>67</v>
      </c>
      <c r="AG310" s="45"/>
      <c r="AH310" s="45">
        <v>27.0</v>
      </c>
      <c r="AI310" s="45"/>
      <c r="AJ310" s="45"/>
      <c r="AK310" s="45"/>
      <c r="AL310" s="45"/>
      <c r="AM310" s="45"/>
      <c r="AN310" s="45">
        <v>0.0</v>
      </c>
      <c r="AO310" s="55"/>
      <c r="AP310" s="54"/>
      <c r="AQ310" s="54"/>
      <c r="AR310" s="54"/>
      <c r="AS310" s="54"/>
      <c r="AT310" s="54"/>
    </row>
    <row r="311">
      <c r="A311" s="35" t="s">
        <v>2025</v>
      </c>
      <c r="B311" s="36" t="s">
        <v>1865</v>
      </c>
      <c r="C311" s="36" t="s">
        <v>1873</v>
      </c>
      <c r="D311" s="36" t="s">
        <v>2026</v>
      </c>
      <c r="E311" s="62" t="s">
        <v>2027</v>
      </c>
      <c r="F311" s="38" t="s">
        <v>2028</v>
      </c>
      <c r="G311" s="61">
        <v>9.89018862E8</v>
      </c>
      <c r="H311" s="40">
        <v>2508.0</v>
      </c>
      <c r="I311" s="40">
        <v>919.0</v>
      </c>
      <c r="J311" s="40" t="s">
        <v>65</v>
      </c>
      <c r="K311" s="42" t="s">
        <v>2029</v>
      </c>
      <c r="L311" s="42" t="s">
        <v>67</v>
      </c>
      <c r="M311" s="41" t="s">
        <v>1878</v>
      </c>
      <c r="N311" s="43" t="s">
        <v>1879</v>
      </c>
      <c r="O311" s="59">
        <v>9.45330112E8</v>
      </c>
      <c r="P311" s="45" t="s">
        <v>74</v>
      </c>
      <c r="Q311" s="45" t="s">
        <v>67</v>
      </c>
      <c r="R311" s="46">
        <v>2.0</v>
      </c>
      <c r="S311" s="45" t="s">
        <v>67</v>
      </c>
      <c r="T311" s="64"/>
      <c r="U311" s="45" t="s">
        <v>67</v>
      </c>
      <c r="V311" s="45"/>
      <c r="W311" s="68">
        <v>46133.0</v>
      </c>
      <c r="X311" s="49" t="s">
        <v>2030</v>
      </c>
      <c r="Y311" s="49" t="s">
        <v>1603</v>
      </c>
      <c r="Z311" s="40" t="s">
        <v>1973</v>
      </c>
      <c r="AA311" s="45" t="s">
        <v>74</v>
      </c>
      <c r="AB311" s="45" t="s">
        <v>67</v>
      </c>
      <c r="AC311" s="45" t="s">
        <v>475</v>
      </c>
      <c r="AD311" s="51" t="s">
        <v>76</v>
      </c>
      <c r="AE311" s="54"/>
      <c r="AF311" s="45" t="s">
        <v>67</v>
      </c>
      <c r="AG311" s="45"/>
      <c r="AH311" s="45">
        <v>16.0</v>
      </c>
      <c r="AI311" s="45"/>
      <c r="AJ311" s="45"/>
      <c r="AK311" s="45"/>
      <c r="AL311" s="45"/>
      <c r="AM311" s="45"/>
      <c r="AN311" s="45">
        <v>0.0</v>
      </c>
      <c r="AO311" s="55"/>
      <c r="AP311" s="54"/>
      <c r="AQ311" s="54"/>
      <c r="AR311" s="54"/>
      <c r="AS311" s="54"/>
      <c r="AT311" s="54"/>
    </row>
    <row r="312">
      <c r="A312" s="35" t="s">
        <v>2031</v>
      </c>
      <c r="B312" s="36" t="s">
        <v>1865</v>
      </c>
      <c r="C312" s="36" t="s">
        <v>2032</v>
      </c>
      <c r="D312" s="36" t="s">
        <v>2033</v>
      </c>
      <c r="E312" s="62" t="s">
        <v>2034</v>
      </c>
      <c r="F312" s="38" t="s">
        <v>2035</v>
      </c>
      <c r="G312" s="61">
        <v>9.74234205E8</v>
      </c>
      <c r="H312" s="40">
        <v>2760.0</v>
      </c>
      <c r="I312" s="40">
        <v>888.0</v>
      </c>
      <c r="J312" s="40" t="s">
        <v>65</v>
      </c>
      <c r="K312" s="41" t="s">
        <v>2036</v>
      </c>
      <c r="L312" s="42" t="s">
        <v>67</v>
      </c>
      <c r="M312" s="41" t="s">
        <v>1871</v>
      </c>
      <c r="N312" s="43">
        <v>0.0</v>
      </c>
      <c r="O312" s="44">
        <v>0.0</v>
      </c>
      <c r="P312" s="45" t="s">
        <v>74</v>
      </c>
      <c r="Q312" s="45" t="s">
        <v>226</v>
      </c>
      <c r="R312" s="165"/>
      <c r="S312" s="45" t="s">
        <v>67</v>
      </c>
      <c r="T312" s="64"/>
      <c r="U312" s="45" t="s">
        <v>67</v>
      </c>
      <c r="V312" s="45"/>
      <c r="W312" s="68">
        <v>46133.0</v>
      </c>
      <c r="X312" s="49" t="s">
        <v>2037</v>
      </c>
      <c r="Y312" s="49" t="s">
        <v>1370</v>
      </c>
      <c r="Z312" s="40" t="s">
        <v>1973</v>
      </c>
      <c r="AA312" s="45" t="s">
        <v>74</v>
      </c>
      <c r="AB312" s="45" t="s">
        <v>67</v>
      </c>
      <c r="AC312" s="45" t="s">
        <v>96</v>
      </c>
      <c r="AD312" s="51" t="s">
        <v>76</v>
      </c>
      <c r="AE312" s="54"/>
      <c r="AF312" s="45" t="s">
        <v>67</v>
      </c>
      <c r="AG312" s="45"/>
      <c r="AH312" s="45">
        <v>42.0</v>
      </c>
      <c r="AI312" s="45"/>
      <c r="AJ312" s="45"/>
      <c r="AK312" s="45"/>
      <c r="AL312" s="45"/>
      <c r="AM312" s="45"/>
      <c r="AN312" s="45">
        <v>0.0</v>
      </c>
      <c r="AO312" s="55"/>
      <c r="AP312" s="54"/>
      <c r="AQ312" s="54"/>
      <c r="AR312" s="54"/>
      <c r="AS312" s="54"/>
      <c r="AT312" s="54"/>
    </row>
    <row r="313">
      <c r="A313" s="35" t="s">
        <v>2038</v>
      </c>
      <c r="B313" s="36" t="s">
        <v>1865</v>
      </c>
      <c r="C313" s="36" t="s">
        <v>1873</v>
      </c>
      <c r="D313" s="36" t="s">
        <v>2039</v>
      </c>
      <c r="E313" s="62" t="s">
        <v>2040</v>
      </c>
      <c r="F313" s="38" t="s">
        <v>2041</v>
      </c>
      <c r="G313" s="61">
        <v>9.20616658E8</v>
      </c>
      <c r="H313" s="40">
        <v>2510.0</v>
      </c>
      <c r="I313" s="40">
        <v>921.0</v>
      </c>
      <c r="J313" s="40" t="s">
        <v>65</v>
      </c>
      <c r="K313" s="41" t="s">
        <v>2042</v>
      </c>
      <c r="L313" s="42" t="s">
        <v>74</v>
      </c>
      <c r="M313" s="41" t="s">
        <v>1878</v>
      </c>
      <c r="N313" s="43" t="s">
        <v>1879</v>
      </c>
      <c r="O313" s="59">
        <v>9.45330112E8</v>
      </c>
      <c r="P313" s="45" t="s">
        <v>74</v>
      </c>
      <c r="Q313" s="45" t="s">
        <v>67</v>
      </c>
      <c r="R313" s="46">
        <v>2.0</v>
      </c>
      <c r="S313" s="45" t="s">
        <v>67</v>
      </c>
      <c r="T313" s="64"/>
      <c r="U313" s="45" t="s">
        <v>67</v>
      </c>
      <c r="V313" s="45"/>
      <c r="W313" s="68">
        <v>46133.0</v>
      </c>
      <c r="X313" s="49" t="s">
        <v>2043</v>
      </c>
      <c r="Y313" s="49" t="s">
        <v>1603</v>
      </c>
      <c r="Z313" s="40" t="s">
        <v>1973</v>
      </c>
      <c r="AA313" s="45" t="s">
        <v>74</v>
      </c>
      <c r="AB313" s="45" t="s">
        <v>67</v>
      </c>
      <c r="AC313" s="45" t="s">
        <v>135</v>
      </c>
      <c r="AD313" s="51" t="s">
        <v>76</v>
      </c>
      <c r="AE313" s="54"/>
      <c r="AF313" s="45" t="s">
        <v>67</v>
      </c>
      <c r="AG313" s="45"/>
      <c r="AH313" s="45">
        <v>42.0</v>
      </c>
      <c r="AI313" s="45"/>
      <c r="AJ313" s="45"/>
      <c r="AK313" s="45"/>
      <c r="AL313" s="45"/>
      <c r="AM313" s="45"/>
      <c r="AN313" s="45">
        <v>0.0</v>
      </c>
      <c r="AO313" s="55"/>
      <c r="AP313" s="54"/>
      <c r="AQ313" s="54"/>
      <c r="AR313" s="54"/>
      <c r="AS313" s="54"/>
      <c r="AT313" s="54"/>
    </row>
    <row r="314">
      <c r="A314" s="35" t="s">
        <v>2038</v>
      </c>
      <c r="B314" s="36" t="s">
        <v>1865</v>
      </c>
      <c r="C314" s="36" t="s">
        <v>1873</v>
      </c>
      <c r="D314" s="36" t="s">
        <v>2039</v>
      </c>
      <c r="E314" s="62" t="s">
        <v>2044</v>
      </c>
      <c r="F314" s="38" t="s">
        <v>2045</v>
      </c>
      <c r="G314" s="61">
        <v>9.73122054E8</v>
      </c>
      <c r="H314" s="40">
        <v>2509.0</v>
      </c>
      <c r="I314" s="40">
        <v>920.0</v>
      </c>
      <c r="J314" s="40" t="s">
        <v>65</v>
      </c>
      <c r="K314" s="42" t="s">
        <v>2046</v>
      </c>
      <c r="L314" s="42" t="s">
        <v>67</v>
      </c>
      <c r="M314" s="41" t="s">
        <v>1878</v>
      </c>
      <c r="N314" s="43" t="s">
        <v>1879</v>
      </c>
      <c r="O314" s="59">
        <v>9.45330112E8</v>
      </c>
      <c r="P314" s="45" t="s">
        <v>74</v>
      </c>
      <c r="Q314" s="45" t="s">
        <v>67</v>
      </c>
      <c r="R314" s="46">
        <v>2.0</v>
      </c>
      <c r="S314" s="45" t="s">
        <v>67</v>
      </c>
      <c r="T314" s="64"/>
      <c r="U314" s="45" t="s">
        <v>67</v>
      </c>
      <c r="V314" s="45"/>
      <c r="W314" s="68">
        <v>46133.0</v>
      </c>
      <c r="X314" s="49" t="s">
        <v>2043</v>
      </c>
      <c r="Y314" s="49" t="s">
        <v>1603</v>
      </c>
      <c r="Z314" s="40" t="s">
        <v>1973</v>
      </c>
      <c r="AA314" s="45" t="s">
        <v>74</v>
      </c>
      <c r="AB314" s="45" t="s">
        <v>67</v>
      </c>
      <c r="AC314" s="45" t="s">
        <v>135</v>
      </c>
      <c r="AD314" s="51" t="s">
        <v>76</v>
      </c>
      <c r="AE314" s="54"/>
      <c r="AF314" s="45" t="s">
        <v>67</v>
      </c>
      <c r="AG314" s="45"/>
      <c r="AH314" s="45">
        <v>24.0</v>
      </c>
      <c r="AI314" s="45"/>
      <c r="AJ314" s="45"/>
      <c r="AK314" s="45"/>
      <c r="AL314" s="45"/>
      <c r="AM314" s="45"/>
      <c r="AN314" s="45">
        <v>0.0</v>
      </c>
      <c r="AO314" s="55"/>
      <c r="AP314" s="54"/>
      <c r="AQ314" s="54"/>
      <c r="AR314" s="54"/>
      <c r="AS314" s="54"/>
      <c r="AT314" s="54"/>
    </row>
    <row r="315">
      <c r="A315" s="35" t="s">
        <v>2047</v>
      </c>
      <c r="B315" s="36" t="s">
        <v>1865</v>
      </c>
      <c r="C315" s="36" t="s">
        <v>1902</v>
      </c>
      <c r="D315" s="36" t="s">
        <v>2048</v>
      </c>
      <c r="E315" s="62" t="s">
        <v>2049</v>
      </c>
      <c r="F315" s="38" t="s">
        <v>2050</v>
      </c>
      <c r="G315" s="61">
        <v>9.50188205E8</v>
      </c>
      <c r="H315" s="40">
        <v>2769.0</v>
      </c>
      <c r="I315" s="40">
        <v>897.0</v>
      </c>
      <c r="J315" s="40" t="s">
        <v>65</v>
      </c>
      <c r="K315" s="41" t="s">
        <v>2051</v>
      </c>
      <c r="L315" s="42" t="s">
        <v>67</v>
      </c>
      <c r="M315" s="41" t="s">
        <v>1871</v>
      </c>
      <c r="N315" s="43">
        <v>0.0</v>
      </c>
      <c r="O315" s="44">
        <v>0.0</v>
      </c>
      <c r="P315" s="45" t="s">
        <v>74</v>
      </c>
      <c r="Q315" s="45" t="s">
        <v>226</v>
      </c>
      <c r="R315" s="165"/>
      <c r="S315" s="45" t="s">
        <v>67</v>
      </c>
      <c r="T315" s="64"/>
      <c r="U315" s="45" t="s">
        <v>67</v>
      </c>
      <c r="V315" s="45"/>
      <c r="W315" s="68">
        <v>46133.0</v>
      </c>
      <c r="X315" s="49" t="s">
        <v>2052</v>
      </c>
      <c r="Y315" s="49" t="s">
        <v>1603</v>
      </c>
      <c r="Z315" s="40" t="s">
        <v>1973</v>
      </c>
      <c r="AA315" s="45" t="s">
        <v>74</v>
      </c>
      <c r="AB315" s="45" t="s">
        <v>67</v>
      </c>
      <c r="AC315" s="45" t="s">
        <v>135</v>
      </c>
      <c r="AD315" s="51" t="s">
        <v>76</v>
      </c>
      <c r="AE315" s="54"/>
      <c r="AF315" s="45" t="s">
        <v>67</v>
      </c>
      <c r="AG315" s="45"/>
      <c r="AH315" s="45">
        <v>25.0</v>
      </c>
      <c r="AI315" s="45"/>
      <c r="AJ315" s="45"/>
      <c r="AK315" s="45"/>
      <c r="AL315" s="45"/>
      <c r="AM315" s="45"/>
      <c r="AN315" s="45">
        <v>0.0</v>
      </c>
      <c r="AO315" s="55"/>
      <c r="AP315" s="54"/>
      <c r="AQ315" s="54"/>
      <c r="AR315" s="54"/>
      <c r="AS315" s="54"/>
      <c r="AT315" s="54"/>
    </row>
    <row r="316">
      <c r="A316" s="35" t="s">
        <v>2047</v>
      </c>
      <c r="B316" s="36" t="s">
        <v>1865</v>
      </c>
      <c r="C316" s="36" t="s">
        <v>1902</v>
      </c>
      <c r="D316" s="36" t="s">
        <v>2048</v>
      </c>
      <c r="E316" s="62" t="s">
        <v>2053</v>
      </c>
      <c r="F316" s="38" t="s">
        <v>2054</v>
      </c>
      <c r="G316" s="61">
        <v>9.37290519E8</v>
      </c>
      <c r="H316" s="40">
        <v>2768.0</v>
      </c>
      <c r="I316" s="40">
        <v>896.0</v>
      </c>
      <c r="J316" s="40" t="s">
        <v>65</v>
      </c>
      <c r="K316" s="42" t="s">
        <v>2055</v>
      </c>
      <c r="L316" s="42" t="s">
        <v>67</v>
      </c>
      <c r="M316" s="41" t="s">
        <v>1871</v>
      </c>
      <c r="N316" s="43">
        <v>0.0</v>
      </c>
      <c r="O316" s="44">
        <v>0.0</v>
      </c>
      <c r="P316" s="45" t="s">
        <v>74</v>
      </c>
      <c r="Q316" s="45" t="s">
        <v>226</v>
      </c>
      <c r="R316" s="165"/>
      <c r="S316" s="45" t="s">
        <v>67</v>
      </c>
      <c r="T316" s="64"/>
      <c r="U316" s="45" t="s">
        <v>67</v>
      </c>
      <c r="V316" s="45"/>
      <c r="W316" s="68">
        <v>46133.0</v>
      </c>
      <c r="X316" s="49" t="s">
        <v>2052</v>
      </c>
      <c r="Y316" s="49" t="s">
        <v>1603</v>
      </c>
      <c r="Z316" s="40" t="s">
        <v>1973</v>
      </c>
      <c r="AA316" s="45" t="s">
        <v>74</v>
      </c>
      <c r="AB316" s="45" t="s">
        <v>67</v>
      </c>
      <c r="AC316" s="45" t="s">
        <v>135</v>
      </c>
      <c r="AD316" s="51" t="s">
        <v>76</v>
      </c>
      <c r="AE316" s="54"/>
      <c r="AF316" s="45" t="s">
        <v>67</v>
      </c>
      <c r="AG316" s="45"/>
      <c r="AH316" s="45">
        <v>25.0</v>
      </c>
      <c r="AI316" s="45"/>
      <c r="AJ316" s="45"/>
      <c r="AK316" s="45"/>
      <c r="AL316" s="45"/>
      <c r="AM316" s="45"/>
      <c r="AN316" s="45">
        <v>0.0</v>
      </c>
      <c r="AO316" s="55"/>
      <c r="AP316" s="54"/>
      <c r="AQ316" s="54"/>
      <c r="AR316" s="54"/>
      <c r="AS316" s="54"/>
      <c r="AT316" s="54"/>
    </row>
    <row r="317">
      <c r="A317" s="35" t="s">
        <v>2056</v>
      </c>
      <c r="B317" s="36" t="s">
        <v>1865</v>
      </c>
      <c r="C317" s="36" t="s">
        <v>1902</v>
      </c>
      <c r="D317" s="36" t="s">
        <v>2057</v>
      </c>
      <c r="E317" s="62" t="s">
        <v>2058</v>
      </c>
      <c r="F317" s="38" t="s">
        <v>2059</v>
      </c>
      <c r="G317" s="61">
        <v>9.82509581E8</v>
      </c>
      <c r="H317" s="40">
        <v>2770.0</v>
      </c>
      <c r="I317" s="40">
        <v>898.0</v>
      </c>
      <c r="J317" s="40" t="s">
        <v>65</v>
      </c>
      <c r="K317" s="41" t="s">
        <v>2060</v>
      </c>
      <c r="L317" s="42" t="s">
        <v>67</v>
      </c>
      <c r="M317" s="41" t="s">
        <v>1871</v>
      </c>
      <c r="N317" s="43">
        <v>0.0</v>
      </c>
      <c r="O317" s="44">
        <v>0.0</v>
      </c>
      <c r="P317" s="45" t="s">
        <v>74</v>
      </c>
      <c r="Q317" s="45" t="s">
        <v>226</v>
      </c>
      <c r="R317" s="165"/>
      <c r="S317" s="45" t="s">
        <v>67</v>
      </c>
      <c r="T317" s="64"/>
      <c r="U317" s="45" t="s">
        <v>67</v>
      </c>
      <c r="V317" s="45"/>
      <c r="W317" s="68">
        <v>46133.0</v>
      </c>
      <c r="X317" s="49" t="s">
        <v>2061</v>
      </c>
      <c r="Y317" s="49" t="s">
        <v>1603</v>
      </c>
      <c r="Z317" s="40" t="s">
        <v>1973</v>
      </c>
      <c r="AA317" s="45" t="s">
        <v>74</v>
      </c>
      <c r="AB317" s="45" t="s">
        <v>67</v>
      </c>
      <c r="AC317" s="45" t="s">
        <v>96</v>
      </c>
      <c r="AD317" s="51" t="s">
        <v>76</v>
      </c>
      <c r="AE317" s="54"/>
      <c r="AF317" s="45" t="s">
        <v>67</v>
      </c>
      <c r="AG317" s="45"/>
      <c r="AH317" s="45">
        <v>31.0</v>
      </c>
      <c r="AI317" s="45"/>
      <c r="AJ317" s="45"/>
      <c r="AK317" s="45"/>
      <c r="AL317" s="45"/>
      <c r="AM317" s="45"/>
      <c r="AN317" s="45">
        <v>0.0</v>
      </c>
      <c r="AO317" s="55"/>
      <c r="AP317" s="54"/>
      <c r="AQ317" s="54"/>
      <c r="AR317" s="54"/>
      <c r="AS317" s="54"/>
      <c r="AT317" s="54"/>
    </row>
    <row r="318">
      <c r="A318" s="35" t="s">
        <v>2056</v>
      </c>
      <c r="B318" s="36" t="s">
        <v>1865</v>
      </c>
      <c r="C318" s="36" t="s">
        <v>1902</v>
      </c>
      <c r="D318" s="36" t="s">
        <v>2057</v>
      </c>
      <c r="E318" s="62" t="s">
        <v>2062</v>
      </c>
      <c r="F318" s="38" t="s">
        <v>2063</v>
      </c>
      <c r="G318" s="61">
        <v>9.46567497E8</v>
      </c>
      <c r="H318" s="40">
        <v>2771.0</v>
      </c>
      <c r="I318" s="40"/>
      <c r="J318" s="40" t="s">
        <v>65</v>
      </c>
      <c r="K318" s="41" t="s">
        <v>2064</v>
      </c>
      <c r="L318" s="42" t="s">
        <v>67</v>
      </c>
      <c r="M318" s="41" t="s">
        <v>1871</v>
      </c>
      <c r="N318" s="43">
        <v>0.0</v>
      </c>
      <c r="O318" s="44">
        <v>0.0</v>
      </c>
      <c r="P318" s="45" t="s">
        <v>74</v>
      </c>
      <c r="Q318" s="45" t="s">
        <v>226</v>
      </c>
      <c r="R318" s="165"/>
      <c r="S318" s="45" t="s">
        <v>67</v>
      </c>
      <c r="T318" s="64"/>
      <c r="U318" s="45" t="s">
        <v>67</v>
      </c>
      <c r="V318" s="45"/>
      <c r="W318" s="68">
        <v>46133.0</v>
      </c>
      <c r="X318" s="49" t="s">
        <v>2061</v>
      </c>
      <c r="Y318" s="49" t="s">
        <v>1603</v>
      </c>
      <c r="Z318" s="40" t="s">
        <v>1973</v>
      </c>
      <c r="AA318" s="45" t="s">
        <v>74</v>
      </c>
      <c r="AB318" s="45" t="s">
        <v>67</v>
      </c>
      <c r="AC318" s="45" t="s">
        <v>96</v>
      </c>
      <c r="AD318" s="51" t="s">
        <v>76</v>
      </c>
      <c r="AE318" s="54"/>
      <c r="AF318" s="45" t="s">
        <v>67</v>
      </c>
      <c r="AG318" s="45"/>
      <c r="AH318" s="45">
        <v>31.0</v>
      </c>
      <c r="AI318" s="45"/>
      <c r="AJ318" s="45"/>
      <c r="AK318" s="45"/>
      <c r="AL318" s="45"/>
      <c r="AM318" s="45"/>
      <c r="AN318" s="45">
        <v>0.0</v>
      </c>
      <c r="AO318" s="55"/>
      <c r="AP318" s="54"/>
      <c r="AQ318" s="54"/>
      <c r="AR318" s="54"/>
      <c r="AS318" s="54"/>
      <c r="AT318" s="54"/>
    </row>
    <row r="319">
      <c r="A319" s="35" t="s">
        <v>2065</v>
      </c>
      <c r="B319" s="36" t="s">
        <v>1865</v>
      </c>
      <c r="C319" s="36" t="s">
        <v>1902</v>
      </c>
      <c r="D319" s="36" t="s">
        <v>2066</v>
      </c>
      <c r="E319" s="62" t="s">
        <v>2067</v>
      </c>
      <c r="F319" s="38" t="s">
        <v>2068</v>
      </c>
      <c r="G319" s="61">
        <v>9.04323171E8</v>
      </c>
      <c r="H319" s="40">
        <v>2522.0</v>
      </c>
      <c r="I319" s="40">
        <v>934.0</v>
      </c>
      <c r="J319" s="40" t="s">
        <v>65</v>
      </c>
      <c r="K319" s="42" t="s">
        <v>2069</v>
      </c>
      <c r="L319" s="42" t="s">
        <v>67</v>
      </c>
      <c r="M319" s="41" t="s">
        <v>1871</v>
      </c>
      <c r="N319" s="43">
        <v>0.0</v>
      </c>
      <c r="O319" s="44">
        <v>0.0</v>
      </c>
      <c r="P319" s="45" t="s">
        <v>74</v>
      </c>
      <c r="Q319" s="45" t="s">
        <v>226</v>
      </c>
      <c r="R319" s="165"/>
      <c r="S319" s="45" t="s">
        <v>67</v>
      </c>
      <c r="T319" s="64"/>
      <c r="U319" s="45" t="s">
        <v>67</v>
      </c>
      <c r="V319" s="45"/>
      <c r="W319" s="68">
        <v>46133.0</v>
      </c>
      <c r="X319" s="49" t="s">
        <v>2070</v>
      </c>
      <c r="Y319" s="49" t="s">
        <v>1240</v>
      </c>
      <c r="Z319" s="40" t="s">
        <v>1973</v>
      </c>
      <c r="AA319" s="45" t="s">
        <v>74</v>
      </c>
      <c r="AB319" s="45" t="s">
        <v>67</v>
      </c>
      <c r="AC319" s="45" t="s">
        <v>195</v>
      </c>
      <c r="AD319" s="51" t="s">
        <v>76</v>
      </c>
      <c r="AE319" s="54"/>
      <c r="AF319" s="45" t="s">
        <v>67</v>
      </c>
      <c r="AG319" s="45"/>
      <c r="AH319" s="45">
        <v>25.0</v>
      </c>
      <c r="AI319" s="45"/>
      <c r="AJ319" s="45"/>
      <c r="AK319" s="45"/>
      <c r="AL319" s="45"/>
      <c r="AM319" s="45"/>
      <c r="AN319" s="45">
        <v>0.0</v>
      </c>
      <c r="AO319" s="55"/>
      <c r="AP319" s="54"/>
      <c r="AQ319" s="54"/>
      <c r="AR319" s="54"/>
      <c r="AS319" s="54"/>
      <c r="AT319" s="54"/>
    </row>
    <row r="320">
      <c r="A320" s="35" t="s">
        <v>2071</v>
      </c>
      <c r="B320" s="36" t="s">
        <v>1865</v>
      </c>
      <c r="C320" s="36" t="s">
        <v>1902</v>
      </c>
      <c r="D320" s="36" t="s">
        <v>2072</v>
      </c>
      <c r="E320" s="62" t="s">
        <v>2073</v>
      </c>
      <c r="F320" s="38" t="s">
        <v>2074</v>
      </c>
      <c r="G320" s="61">
        <v>9.40605841E8</v>
      </c>
      <c r="H320" s="40">
        <v>2523.0</v>
      </c>
      <c r="I320" s="40">
        <v>935.0</v>
      </c>
      <c r="J320" s="40" t="s">
        <v>65</v>
      </c>
      <c r="K320" s="41" t="s">
        <v>2075</v>
      </c>
      <c r="L320" s="42" t="s">
        <v>67</v>
      </c>
      <c r="M320" s="41" t="s">
        <v>1871</v>
      </c>
      <c r="N320" s="43">
        <v>0.0</v>
      </c>
      <c r="O320" s="44">
        <v>0.0</v>
      </c>
      <c r="P320" s="45" t="s">
        <v>74</v>
      </c>
      <c r="Q320" s="45" t="s">
        <v>226</v>
      </c>
      <c r="R320" s="165"/>
      <c r="S320" s="45" t="s">
        <v>67</v>
      </c>
      <c r="T320" s="64"/>
      <c r="U320" s="45" t="s">
        <v>67</v>
      </c>
      <c r="V320" s="45"/>
      <c r="W320" s="68">
        <v>46133.0</v>
      </c>
      <c r="X320" s="49" t="s">
        <v>2076</v>
      </c>
      <c r="Y320" s="49" t="s">
        <v>1370</v>
      </c>
      <c r="Z320" s="40" t="s">
        <v>1973</v>
      </c>
      <c r="AA320" s="45" t="s">
        <v>74</v>
      </c>
      <c r="AB320" s="45" t="s">
        <v>67</v>
      </c>
      <c r="AC320" s="45" t="s">
        <v>125</v>
      </c>
      <c r="AD320" s="51" t="s">
        <v>76</v>
      </c>
      <c r="AE320" s="54"/>
      <c r="AF320" s="45" t="s">
        <v>67</v>
      </c>
      <c r="AG320" s="45"/>
      <c r="AH320" s="45">
        <v>14.0</v>
      </c>
      <c r="AI320" s="45"/>
      <c r="AJ320" s="45"/>
      <c r="AK320" s="45"/>
      <c r="AL320" s="45"/>
      <c r="AM320" s="45"/>
      <c r="AN320" s="45">
        <v>0.0</v>
      </c>
      <c r="AO320" s="55"/>
      <c r="AP320" s="54"/>
      <c r="AQ320" s="54"/>
      <c r="AR320" s="54"/>
      <c r="AS320" s="54"/>
      <c r="AT320" s="54"/>
    </row>
    <row r="321">
      <c r="A321" s="35" t="s">
        <v>2077</v>
      </c>
      <c r="B321" s="36" t="s">
        <v>1865</v>
      </c>
      <c r="C321" s="36" t="s">
        <v>1873</v>
      </c>
      <c r="D321" s="36" t="s">
        <v>2078</v>
      </c>
      <c r="E321" s="62" t="s">
        <v>2079</v>
      </c>
      <c r="F321" s="38" t="s">
        <v>2080</v>
      </c>
      <c r="G321" s="61">
        <v>9.33704245E8</v>
      </c>
      <c r="H321" s="40">
        <v>2512.0</v>
      </c>
      <c r="I321" s="40">
        <v>923.0</v>
      </c>
      <c r="J321" s="40" t="s">
        <v>65</v>
      </c>
      <c r="K321" s="41" t="s">
        <v>2081</v>
      </c>
      <c r="L321" s="42" t="s">
        <v>67</v>
      </c>
      <c r="M321" s="41" t="s">
        <v>1878</v>
      </c>
      <c r="N321" s="43" t="s">
        <v>1879</v>
      </c>
      <c r="O321" s="59">
        <v>9.45330112E8</v>
      </c>
      <c r="P321" s="45" t="s">
        <v>74</v>
      </c>
      <c r="Q321" s="45" t="s">
        <v>67</v>
      </c>
      <c r="R321" s="46">
        <v>2.0</v>
      </c>
      <c r="S321" s="45" t="s">
        <v>67</v>
      </c>
      <c r="T321" s="64"/>
      <c r="U321" s="45" t="s">
        <v>67</v>
      </c>
      <c r="V321" s="45"/>
      <c r="W321" s="68">
        <v>46133.0</v>
      </c>
      <c r="X321" s="49" t="s">
        <v>2082</v>
      </c>
      <c r="Y321" s="49" t="s">
        <v>1603</v>
      </c>
      <c r="Z321" s="40" t="s">
        <v>1973</v>
      </c>
      <c r="AA321" s="45" t="s">
        <v>74</v>
      </c>
      <c r="AB321" s="45" t="s">
        <v>67</v>
      </c>
      <c r="AC321" s="45" t="s">
        <v>475</v>
      </c>
      <c r="AD321" s="51" t="s">
        <v>76</v>
      </c>
      <c r="AE321" s="54"/>
      <c r="AF321" s="45" t="s">
        <v>67</v>
      </c>
      <c r="AG321" s="45"/>
      <c r="AH321" s="45">
        <v>32.0</v>
      </c>
      <c r="AI321" s="45"/>
      <c r="AJ321" s="45"/>
      <c r="AK321" s="45"/>
      <c r="AL321" s="45"/>
      <c r="AM321" s="45"/>
      <c r="AN321" s="45">
        <v>0.0</v>
      </c>
      <c r="AO321" s="55"/>
      <c r="AP321" s="54"/>
      <c r="AQ321" s="54"/>
      <c r="AR321" s="54"/>
      <c r="AS321" s="54"/>
      <c r="AT321" s="54"/>
    </row>
    <row r="322">
      <c r="A322" s="35" t="s">
        <v>2077</v>
      </c>
      <c r="B322" s="36" t="s">
        <v>1865</v>
      </c>
      <c r="C322" s="36" t="s">
        <v>1873</v>
      </c>
      <c r="D322" s="36" t="s">
        <v>2078</v>
      </c>
      <c r="E322" s="62" t="s">
        <v>2083</v>
      </c>
      <c r="F322" s="38" t="s">
        <v>2084</v>
      </c>
      <c r="G322" s="61">
        <v>9.32042109E8</v>
      </c>
      <c r="H322" s="40">
        <v>2511.0</v>
      </c>
      <c r="I322" s="40">
        <v>922.0</v>
      </c>
      <c r="J322" s="40" t="s">
        <v>65</v>
      </c>
      <c r="K322" s="42" t="s">
        <v>2085</v>
      </c>
      <c r="L322" s="42" t="s">
        <v>67</v>
      </c>
      <c r="M322" s="41" t="s">
        <v>1878</v>
      </c>
      <c r="N322" s="43" t="s">
        <v>1879</v>
      </c>
      <c r="O322" s="59">
        <v>9.45330112E8</v>
      </c>
      <c r="P322" s="45" t="s">
        <v>74</v>
      </c>
      <c r="Q322" s="45" t="s">
        <v>67</v>
      </c>
      <c r="R322" s="46">
        <v>2.0</v>
      </c>
      <c r="S322" s="45" t="s">
        <v>67</v>
      </c>
      <c r="T322" s="64"/>
      <c r="U322" s="45" t="s">
        <v>67</v>
      </c>
      <c r="V322" s="45"/>
      <c r="W322" s="68">
        <v>46133.0</v>
      </c>
      <c r="X322" s="49" t="s">
        <v>2082</v>
      </c>
      <c r="Y322" s="49" t="s">
        <v>1603</v>
      </c>
      <c r="Z322" s="40" t="s">
        <v>1973</v>
      </c>
      <c r="AA322" s="45" t="s">
        <v>74</v>
      </c>
      <c r="AB322" s="45" t="s">
        <v>67</v>
      </c>
      <c r="AC322" s="45" t="s">
        <v>475</v>
      </c>
      <c r="AD322" s="51" t="s">
        <v>76</v>
      </c>
      <c r="AE322" s="54"/>
      <c r="AF322" s="45" t="s">
        <v>67</v>
      </c>
      <c r="AG322" s="45"/>
      <c r="AH322" s="45">
        <v>32.0</v>
      </c>
      <c r="AI322" s="45"/>
      <c r="AJ322" s="45"/>
      <c r="AK322" s="45"/>
      <c r="AL322" s="45"/>
      <c r="AM322" s="45"/>
      <c r="AN322" s="45">
        <v>0.0</v>
      </c>
      <c r="AO322" s="55"/>
      <c r="AP322" s="54"/>
      <c r="AQ322" s="54"/>
      <c r="AR322" s="54"/>
      <c r="AS322" s="54"/>
      <c r="AT322" s="54"/>
    </row>
    <row r="323">
      <c r="A323" s="35" t="s">
        <v>2086</v>
      </c>
      <c r="B323" s="36" t="s">
        <v>1865</v>
      </c>
      <c r="C323" s="36" t="s">
        <v>1902</v>
      </c>
      <c r="D323" s="36" t="s">
        <v>2087</v>
      </c>
      <c r="E323" s="62" t="s">
        <v>2088</v>
      </c>
      <c r="F323" s="38" t="s">
        <v>2089</v>
      </c>
      <c r="G323" s="61">
        <v>9.40325658E8</v>
      </c>
      <c r="H323" s="40">
        <v>2772.0</v>
      </c>
      <c r="I323" s="40">
        <v>900.0</v>
      </c>
      <c r="J323" s="40" t="s">
        <v>65</v>
      </c>
      <c r="K323" s="41" t="s">
        <v>2090</v>
      </c>
      <c r="L323" s="42" t="s">
        <v>67</v>
      </c>
      <c r="M323" s="41" t="s">
        <v>1871</v>
      </c>
      <c r="N323" s="43">
        <v>0.0</v>
      </c>
      <c r="O323" s="44">
        <v>0.0</v>
      </c>
      <c r="P323" s="45" t="s">
        <v>74</v>
      </c>
      <c r="Q323" s="45" t="s">
        <v>226</v>
      </c>
      <c r="R323" s="165"/>
      <c r="S323" s="45" t="s">
        <v>67</v>
      </c>
      <c r="T323" s="64"/>
      <c r="U323" s="45" t="s">
        <v>67</v>
      </c>
      <c r="V323" s="45"/>
      <c r="W323" s="68">
        <v>46133.0</v>
      </c>
      <c r="X323" s="49" t="s">
        <v>2091</v>
      </c>
      <c r="Y323" s="49" t="s">
        <v>1603</v>
      </c>
      <c r="Z323" s="40" t="s">
        <v>1973</v>
      </c>
      <c r="AA323" s="45" t="s">
        <v>74</v>
      </c>
      <c r="AB323" s="45" t="s">
        <v>67</v>
      </c>
      <c r="AC323" s="45" t="s">
        <v>86</v>
      </c>
      <c r="AD323" s="51" t="s">
        <v>76</v>
      </c>
      <c r="AE323" s="54"/>
      <c r="AF323" s="45" t="s">
        <v>67</v>
      </c>
      <c r="AG323" s="45"/>
      <c r="AH323" s="45">
        <v>23.0</v>
      </c>
      <c r="AI323" s="45"/>
      <c r="AJ323" s="45"/>
      <c r="AK323" s="45"/>
      <c r="AL323" s="45"/>
      <c r="AM323" s="45"/>
      <c r="AN323" s="45">
        <v>0.0</v>
      </c>
      <c r="AO323" s="55"/>
      <c r="AP323" s="54"/>
      <c r="AQ323" s="54"/>
      <c r="AR323" s="54"/>
      <c r="AS323" s="54"/>
      <c r="AT323" s="54"/>
    </row>
    <row r="324">
      <c r="A324" s="35" t="s">
        <v>2092</v>
      </c>
      <c r="B324" s="36" t="s">
        <v>1865</v>
      </c>
      <c r="C324" s="36" t="s">
        <v>1902</v>
      </c>
      <c r="D324" s="36" t="s">
        <v>2093</v>
      </c>
      <c r="E324" s="62" t="s">
        <v>2094</v>
      </c>
      <c r="F324" s="38" t="s">
        <v>2095</v>
      </c>
      <c r="G324" s="61">
        <v>9.55540154E8</v>
      </c>
      <c r="H324" s="40">
        <v>2518.0</v>
      </c>
      <c r="I324" s="40">
        <v>930.0</v>
      </c>
      <c r="J324" s="40" t="s">
        <v>65</v>
      </c>
      <c r="K324" s="42" t="s">
        <v>2096</v>
      </c>
      <c r="L324" s="42" t="s">
        <v>67</v>
      </c>
      <c r="M324" s="41" t="s">
        <v>1871</v>
      </c>
      <c r="N324" s="43">
        <v>0.0</v>
      </c>
      <c r="O324" s="44">
        <v>0.0</v>
      </c>
      <c r="P324" s="45" t="s">
        <v>74</v>
      </c>
      <c r="Q324" s="45" t="s">
        <v>226</v>
      </c>
      <c r="R324" s="165"/>
      <c r="S324" s="45" t="s">
        <v>67</v>
      </c>
      <c r="T324" s="64"/>
      <c r="U324" s="45" t="s">
        <v>67</v>
      </c>
      <c r="V324" s="45"/>
      <c r="W324" s="68">
        <v>46133.0</v>
      </c>
      <c r="X324" s="49" t="s">
        <v>2097</v>
      </c>
      <c r="Y324" s="49" t="s">
        <v>1603</v>
      </c>
      <c r="Z324" s="40" t="s">
        <v>1973</v>
      </c>
      <c r="AA324" s="45" t="s">
        <v>67</v>
      </c>
      <c r="AB324" s="45" t="s">
        <v>67</v>
      </c>
      <c r="AC324" s="45" t="s">
        <v>135</v>
      </c>
      <c r="AD324" s="51" t="s">
        <v>76</v>
      </c>
      <c r="AE324" s="54"/>
      <c r="AF324" s="45" t="s">
        <v>67</v>
      </c>
      <c r="AG324" s="45"/>
      <c r="AH324" s="45">
        <v>18.0</v>
      </c>
      <c r="AI324" s="45"/>
      <c r="AJ324" s="45"/>
      <c r="AK324" s="45"/>
      <c r="AL324" s="45"/>
      <c r="AM324" s="45"/>
      <c r="AN324" s="45">
        <v>0.0</v>
      </c>
      <c r="AO324" s="55"/>
      <c r="AP324" s="54"/>
      <c r="AQ324" s="54"/>
      <c r="AR324" s="54"/>
      <c r="AS324" s="54"/>
      <c r="AT324" s="54"/>
    </row>
    <row r="325">
      <c r="A325" s="35" t="s">
        <v>2098</v>
      </c>
      <c r="B325" s="36" t="s">
        <v>1865</v>
      </c>
      <c r="C325" s="36" t="s">
        <v>1873</v>
      </c>
      <c r="D325" s="36" t="s">
        <v>2099</v>
      </c>
      <c r="E325" s="62" t="s">
        <v>2100</v>
      </c>
      <c r="F325" s="38" t="s">
        <v>2101</v>
      </c>
      <c r="G325" s="61">
        <v>9.08784974E8</v>
      </c>
      <c r="H325" s="40">
        <v>2513.0</v>
      </c>
      <c r="I325" s="40">
        <v>924.0</v>
      </c>
      <c r="J325" s="40" t="s">
        <v>65</v>
      </c>
      <c r="K325" s="41" t="s">
        <v>2102</v>
      </c>
      <c r="L325" s="42" t="s">
        <v>67</v>
      </c>
      <c r="M325" s="41" t="s">
        <v>1878</v>
      </c>
      <c r="N325" s="43" t="s">
        <v>1879</v>
      </c>
      <c r="O325" s="59">
        <v>9.45330112E8</v>
      </c>
      <c r="P325" s="45" t="s">
        <v>74</v>
      </c>
      <c r="Q325" s="45" t="s">
        <v>67</v>
      </c>
      <c r="R325" s="46">
        <v>2.0</v>
      </c>
      <c r="S325" s="45" t="s">
        <v>67</v>
      </c>
      <c r="T325" s="64"/>
      <c r="U325" s="45" t="s">
        <v>67</v>
      </c>
      <c r="V325" s="45"/>
      <c r="W325" s="68">
        <v>46134.0</v>
      </c>
      <c r="X325" s="49" t="s">
        <v>2103</v>
      </c>
      <c r="Y325" s="49"/>
      <c r="Z325" s="40" t="s">
        <v>1973</v>
      </c>
      <c r="AA325" s="45" t="s">
        <v>74</v>
      </c>
      <c r="AB325" s="45" t="s">
        <v>67</v>
      </c>
      <c r="AC325" s="45" t="s">
        <v>306</v>
      </c>
      <c r="AD325" s="51" t="s">
        <v>1081</v>
      </c>
      <c r="AE325" s="54"/>
      <c r="AF325" s="45" t="s">
        <v>74</v>
      </c>
      <c r="AG325" s="45"/>
      <c r="AH325" s="45">
        <v>0.0</v>
      </c>
      <c r="AI325" s="45"/>
      <c r="AJ325" s="45"/>
      <c r="AK325" s="45"/>
      <c r="AL325" s="45"/>
      <c r="AM325" s="45"/>
      <c r="AN325" s="45">
        <v>0.0</v>
      </c>
      <c r="AO325" s="60" t="s">
        <v>2104</v>
      </c>
      <c r="AP325" s="67" t="s">
        <v>2105</v>
      </c>
      <c r="AQ325" s="54"/>
      <c r="AR325" s="54"/>
      <c r="AS325" s="54"/>
      <c r="AT325" s="54"/>
    </row>
    <row r="326">
      <c r="A326" s="35" t="s">
        <v>2106</v>
      </c>
      <c r="B326" s="36" t="s">
        <v>1865</v>
      </c>
      <c r="C326" s="36" t="s">
        <v>1873</v>
      </c>
      <c r="D326" s="36" t="s">
        <v>2107</v>
      </c>
      <c r="E326" s="62" t="s">
        <v>2108</v>
      </c>
      <c r="F326" s="38" t="s">
        <v>2109</v>
      </c>
      <c r="G326" s="61">
        <v>9.48520899E8</v>
      </c>
      <c r="H326" s="40">
        <v>2514.0</v>
      </c>
      <c r="I326" s="40">
        <v>925.0</v>
      </c>
      <c r="J326" s="40" t="s">
        <v>65</v>
      </c>
      <c r="K326" s="41" t="s">
        <v>2110</v>
      </c>
      <c r="L326" s="42" t="s">
        <v>67</v>
      </c>
      <c r="M326" s="41" t="s">
        <v>1878</v>
      </c>
      <c r="N326" s="43" t="s">
        <v>1879</v>
      </c>
      <c r="O326" s="59">
        <v>9.45330112E8</v>
      </c>
      <c r="P326" s="45" t="s">
        <v>74</v>
      </c>
      <c r="Q326" s="45" t="s">
        <v>67</v>
      </c>
      <c r="R326" s="46">
        <v>2.0</v>
      </c>
      <c r="S326" s="45" t="s">
        <v>67</v>
      </c>
      <c r="T326" s="64"/>
      <c r="U326" s="45" t="s">
        <v>67</v>
      </c>
      <c r="V326" s="45"/>
      <c r="W326" s="68">
        <v>46133.0</v>
      </c>
      <c r="X326" s="49" t="s">
        <v>2111</v>
      </c>
      <c r="Y326" s="49" t="s">
        <v>1603</v>
      </c>
      <c r="Z326" s="40" t="s">
        <v>1973</v>
      </c>
      <c r="AA326" s="45" t="s">
        <v>74</v>
      </c>
      <c r="AB326" s="45" t="s">
        <v>67</v>
      </c>
      <c r="AC326" s="45" t="s">
        <v>86</v>
      </c>
      <c r="AD326" s="51" t="s">
        <v>76</v>
      </c>
      <c r="AE326" s="54"/>
      <c r="AF326" s="45" t="s">
        <v>67</v>
      </c>
      <c r="AG326" s="45"/>
      <c r="AH326" s="45">
        <v>18.0</v>
      </c>
      <c r="AI326" s="45"/>
      <c r="AJ326" s="45"/>
      <c r="AK326" s="45"/>
      <c r="AL326" s="45"/>
      <c r="AM326" s="45"/>
      <c r="AN326" s="45">
        <v>0.0</v>
      </c>
      <c r="AO326" s="55"/>
      <c r="AP326" s="54"/>
      <c r="AQ326" s="54"/>
      <c r="AR326" s="54"/>
      <c r="AS326" s="54"/>
      <c r="AT326" s="54"/>
    </row>
    <row r="327">
      <c r="A327" s="124" t="s">
        <v>2112</v>
      </c>
      <c r="B327" s="125" t="s">
        <v>1865</v>
      </c>
      <c r="C327" s="125" t="s">
        <v>1873</v>
      </c>
      <c r="D327" s="125" t="s">
        <v>2113</v>
      </c>
      <c r="E327" s="126" t="s">
        <v>2114</v>
      </c>
      <c r="F327" s="127"/>
      <c r="G327" s="125"/>
      <c r="H327" s="128"/>
      <c r="I327" s="128"/>
      <c r="J327" s="128" t="s">
        <v>149</v>
      </c>
      <c r="K327" s="130" t="s">
        <v>2115</v>
      </c>
      <c r="L327" s="130" t="s">
        <v>74</v>
      </c>
      <c r="M327" s="129" t="s">
        <v>1878</v>
      </c>
      <c r="N327" s="131" t="s">
        <v>1879</v>
      </c>
      <c r="O327" s="166">
        <v>9.45330112E8</v>
      </c>
      <c r="P327" s="45" t="s">
        <v>74</v>
      </c>
      <c r="Q327" s="132" t="s">
        <v>67</v>
      </c>
      <c r="R327" s="133">
        <v>2.0</v>
      </c>
      <c r="S327" s="132"/>
      <c r="T327" s="134"/>
      <c r="U327" s="45" t="s">
        <v>67</v>
      </c>
      <c r="V327" s="132"/>
      <c r="W327" s="135"/>
      <c r="X327" s="136" t="s">
        <v>205</v>
      </c>
      <c r="Y327" s="49"/>
      <c r="Z327" s="128" t="s">
        <v>1973</v>
      </c>
      <c r="AA327" s="45" t="s">
        <v>74</v>
      </c>
      <c r="AB327" s="45" t="s">
        <v>67</v>
      </c>
      <c r="AC327" s="45"/>
      <c r="AD327" s="51" t="s">
        <v>76</v>
      </c>
      <c r="AE327" s="138"/>
      <c r="AF327" s="132"/>
      <c r="AG327" s="132"/>
      <c r="AH327" s="45">
        <v>0.0</v>
      </c>
      <c r="AI327" s="45"/>
      <c r="AJ327" s="45"/>
      <c r="AK327" s="45"/>
      <c r="AL327" s="45"/>
      <c r="AM327" s="45"/>
      <c r="AN327" s="45">
        <v>0.0</v>
      </c>
      <c r="AO327" s="167"/>
      <c r="AP327" s="138"/>
      <c r="AQ327" s="138"/>
      <c r="AR327" s="138"/>
      <c r="AS327" s="138"/>
      <c r="AT327" s="138"/>
    </row>
    <row r="328">
      <c r="A328" s="35" t="s">
        <v>2116</v>
      </c>
      <c r="B328" s="36" t="s">
        <v>1865</v>
      </c>
      <c r="C328" s="36" t="s">
        <v>1873</v>
      </c>
      <c r="D328" s="36" t="s">
        <v>2117</v>
      </c>
      <c r="E328" s="62" t="s">
        <v>2118</v>
      </c>
      <c r="F328" s="38" t="s">
        <v>2119</v>
      </c>
      <c r="G328" s="61">
        <v>9.10707816E8</v>
      </c>
      <c r="H328" s="40">
        <v>2516.0</v>
      </c>
      <c r="I328" s="40">
        <v>928.0</v>
      </c>
      <c r="J328" s="40" t="s">
        <v>65</v>
      </c>
      <c r="K328" s="41" t="s">
        <v>2120</v>
      </c>
      <c r="L328" s="42" t="s">
        <v>67</v>
      </c>
      <c r="M328" s="41" t="s">
        <v>1878</v>
      </c>
      <c r="N328" s="43" t="s">
        <v>1879</v>
      </c>
      <c r="O328" s="59">
        <v>9.45330112E8</v>
      </c>
      <c r="P328" s="45" t="s">
        <v>74</v>
      </c>
      <c r="Q328" s="45" t="s">
        <v>67</v>
      </c>
      <c r="R328" s="46">
        <v>2.0</v>
      </c>
      <c r="S328" s="45" t="s">
        <v>67</v>
      </c>
      <c r="T328" s="64"/>
      <c r="U328" s="45" t="s">
        <v>67</v>
      </c>
      <c r="V328" s="45"/>
      <c r="W328" s="68">
        <v>46133.0</v>
      </c>
      <c r="X328" s="49" t="s">
        <v>2121</v>
      </c>
      <c r="Y328" s="49" t="s">
        <v>1370</v>
      </c>
      <c r="Z328" s="40" t="s">
        <v>1973</v>
      </c>
      <c r="AA328" s="45" t="s">
        <v>74</v>
      </c>
      <c r="AB328" s="45" t="s">
        <v>67</v>
      </c>
      <c r="AC328" s="45" t="s">
        <v>620</v>
      </c>
      <c r="AD328" s="51" t="s">
        <v>76</v>
      </c>
      <c r="AE328" s="54"/>
      <c r="AF328" s="45" t="s">
        <v>67</v>
      </c>
      <c r="AG328" s="45"/>
      <c r="AH328" s="45">
        <v>24.0</v>
      </c>
      <c r="AI328" s="45"/>
      <c r="AJ328" s="45"/>
      <c r="AK328" s="45"/>
      <c r="AL328" s="45"/>
      <c r="AM328" s="45"/>
      <c r="AN328" s="45">
        <v>0.0</v>
      </c>
      <c r="AO328" s="55"/>
      <c r="AP328" s="54"/>
      <c r="AQ328" s="54"/>
      <c r="AR328" s="54"/>
      <c r="AS328" s="54"/>
      <c r="AT328" s="54"/>
    </row>
    <row r="329">
      <c r="A329" s="35" t="s">
        <v>2116</v>
      </c>
      <c r="B329" s="36" t="s">
        <v>1865</v>
      </c>
      <c r="C329" s="36" t="s">
        <v>1873</v>
      </c>
      <c r="D329" s="36" t="s">
        <v>2117</v>
      </c>
      <c r="E329" s="62" t="s">
        <v>2122</v>
      </c>
      <c r="F329" s="38" t="s">
        <v>2123</v>
      </c>
      <c r="G329" s="61">
        <v>9.36629291E8</v>
      </c>
      <c r="H329" s="40">
        <v>2517.0</v>
      </c>
      <c r="I329" s="40">
        <v>929.0</v>
      </c>
      <c r="J329" s="40" t="s">
        <v>65</v>
      </c>
      <c r="K329" s="41" t="s">
        <v>2124</v>
      </c>
      <c r="L329" s="42" t="s">
        <v>67</v>
      </c>
      <c r="M329" s="41" t="s">
        <v>1878</v>
      </c>
      <c r="N329" s="43" t="s">
        <v>1879</v>
      </c>
      <c r="O329" s="59">
        <v>9.45330112E8</v>
      </c>
      <c r="P329" s="45" t="s">
        <v>74</v>
      </c>
      <c r="Q329" s="45" t="s">
        <v>67</v>
      </c>
      <c r="R329" s="46">
        <v>2.0</v>
      </c>
      <c r="S329" s="45" t="s">
        <v>67</v>
      </c>
      <c r="T329" s="64"/>
      <c r="U329" s="45" t="s">
        <v>67</v>
      </c>
      <c r="V329" s="45"/>
      <c r="W329" s="68">
        <v>46133.0</v>
      </c>
      <c r="X329" s="49" t="s">
        <v>2121</v>
      </c>
      <c r="Y329" s="49" t="s">
        <v>1370</v>
      </c>
      <c r="Z329" s="40" t="s">
        <v>1973</v>
      </c>
      <c r="AA329" s="45" t="s">
        <v>74</v>
      </c>
      <c r="AB329" s="45" t="s">
        <v>67</v>
      </c>
      <c r="AC329" s="45" t="s">
        <v>620</v>
      </c>
      <c r="AD329" s="51" t="s">
        <v>76</v>
      </c>
      <c r="AE329" s="54"/>
      <c r="AF329" s="45" t="s">
        <v>67</v>
      </c>
      <c r="AG329" s="45"/>
      <c r="AH329" s="45">
        <v>24.0</v>
      </c>
      <c r="AI329" s="45"/>
      <c r="AJ329" s="45"/>
      <c r="AK329" s="45"/>
      <c r="AL329" s="45"/>
      <c r="AM329" s="45"/>
      <c r="AN329" s="45">
        <v>0.0</v>
      </c>
      <c r="AO329" s="55"/>
      <c r="AP329" s="54"/>
      <c r="AQ329" s="54"/>
      <c r="AR329" s="54"/>
      <c r="AS329" s="54"/>
      <c r="AT329" s="54"/>
    </row>
    <row r="330">
      <c r="A330" s="35" t="s">
        <v>2125</v>
      </c>
      <c r="B330" s="36" t="s">
        <v>2126</v>
      </c>
      <c r="C330" s="36" t="s">
        <v>2127</v>
      </c>
      <c r="D330" s="36" t="s">
        <v>2128</v>
      </c>
      <c r="E330" s="62" t="s">
        <v>2129</v>
      </c>
      <c r="F330" s="38" t="s">
        <v>2130</v>
      </c>
      <c r="G330" s="61">
        <v>9.85405433E8</v>
      </c>
      <c r="H330" s="40">
        <v>2874.0</v>
      </c>
      <c r="I330" s="40">
        <v>766.0</v>
      </c>
      <c r="J330" s="40" t="s">
        <v>65</v>
      </c>
      <c r="K330" s="42" t="s">
        <v>2131</v>
      </c>
      <c r="L330" s="42" t="s">
        <v>67</v>
      </c>
      <c r="M330" s="43" t="s">
        <v>2132</v>
      </c>
      <c r="N330" s="43" t="s">
        <v>2133</v>
      </c>
      <c r="O330" s="42">
        <v>9.14383274E8</v>
      </c>
      <c r="P330" s="45" t="s">
        <v>67</v>
      </c>
      <c r="Q330" s="45" t="s">
        <v>67</v>
      </c>
      <c r="R330" s="46">
        <v>1.0</v>
      </c>
      <c r="S330" s="45" t="s">
        <v>67</v>
      </c>
      <c r="T330" s="64"/>
      <c r="U330" s="45" t="s">
        <v>67</v>
      </c>
      <c r="V330" s="45"/>
      <c r="W330" s="68">
        <v>46133.0</v>
      </c>
      <c r="X330" s="49" t="s">
        <v>2134</v>
      </c>
      <c r="Y330" s="49" t="s">
        <v>1370</v>
      </c>
      <c r="Z330" s="40" t="s">
        <v>1973</v>
      </c>
      <c r="AA330" s="45" t="s">
        <v>74</v>
      </c>
      <c r="AB330" s="45" t="s">
        <v>67</v>
      </c>
      <c r="AC330" s="45" t="s">
        <v>306</v>
      </c>
      <c r="AD330" s="51" t="s">
        <v>76</v>
      </c>
      <c r="AE330" s="54"/>
      <c r="AF330" s="45" t="s">
        <v>67</v>
      </c>
      <c r="AG330" s="45"/>
      <c r="AH330" s="45">
        <v>12.0</v>
      </c>
      <c r="AI330" s="45"/>
      <c r="AJ330" s="45"/>
      <c r="AK330" s="45"/>
      <c r="AL330" s="45"/>
      <c r="AM330" s="45"/>
      <c r="AN330" s="45">
        <v>0.0</v>
      </c>
      <c r="AO330" s="55"/>
      <c r="AP330" s="54"/>
      <c r="AQ330" s="54"/>
      <c r="AR330" s="54"/>
      <c r="AS330" s="54"/>
      <c r="AT330" s="54"/>
    </row>
    <row r="331">
      <c r="A331" s="35" t="s">
        <v>2135</v>
      </c>
      <c r="B331" s="36" t="s">
        <v>2126</v>
      </c>
      <c r="C331" s="36" t="s">
        <v>2136</v>
      </c>
      <c r="D331" s="36" t="s">
        <v>2137</v>
      </c>
      <c r="E331" s="62" t="s">
        <v>2138</v>
      </c>
      <c r="F331" s="38" t="s">
        <v>2139</v>
      </c>
      <c r="G331" s="61">
        <v>9.31363062E8</v>
      </c>
      <c r="H331" s="40">
        <v>2664.0</v>
      </c>
      <c r="I331" s="40">
        <v>1197.0</v>
      </c>
      <c r="J331" s="40" t="s">
        <v>65</v>
      </c>
      <c r="K331" s="41" t="s">
        <v>2140</v>
      </c>
      <c r="L331" s="42" t="s">
        <v>67</v>
      </c>
      <c r="M331" s="53" t="s">
        <v>2141</v>
      </c>
      <c r="N331" s="43" t="s">
        <v>2142</v>
      </c>
      <c r="O331" s="44">
        <v>9.50035824E8</v>
      </c>
      <c r="P331" s="45" t="s">
        <v>67</v>
      </c>
      <c r="Q331" s="45" t="s">
        <v>67</v>
      </c>
      <c r="R331" s="46">
        <v>3.0</v>
      </c>
      <c r="S331" s="45" t="s">
        <v>67</v>
      </c>
      <c r="T331" s="64"/>
      <c r="U331" s="45" t="s">
        <v>67</v>
      </c>
      <c r="V331" s="45"/>
      <c r="W331" s="68">
        <v>46133.0</v>
      </c>
      <c r="X331" s="49" t="s">
        <v>2143</v>
      </c>
      <c r="Y331" s="49" t="s">
        <v>1370</v>
      </c>
      <c r="Z331" s="40" t="s">
        <v>1973</v>
      </c>
      <c r="AA331" s="45" t="s">
        <v>74</v>
      </c>
      <c r="AB331" s="45" t="s">
        <v>67</v>
      </c>
      <c r="AC331" s="45" t="s">
        <v>96</v>
      </c>
      <c r="AD331" s="51" t="s">
        <v>76</v>
      </c>
      <c r="AE331" s="54"/>
      <c r="AF331" s="45" t="s">
        <v>67</v>
      </c>
      <c r="AG331" s="45"/>
      <c r="AH331" s="45">
        <v>17.0</v>
      </c>
      <c r="AI331" s="45"/>
      <c r="AJ331" s="45"/>
      <c r="AK331" s="45"/>
      <c r="AL331" s="45"/>
      <c r="AM331" s="45"/>
      <c r="AN331" s="45">
        <v>0.0</v>
      </c>
      <c r="AO331" s="55"/>
      <c r="AP331" s="54"/>
      <c r="AQ331" s="54"/>
      <c r="AR331" s="54"/>
      <c r="AS331" s="54"/>
      <c r="AT331" s="54"/>
    </row>
    <row r="332">
      <c r="A332" s="35" t="s">
        <v>2135</v>
      </c>
      <c r="B332" s="36" t="s">
        <v>2126</v>
      </c>
      <c r="C332" s="36" t="s">
        <v>2136</v>
      </c>
      <c r="D332" s="36" t="s">
        <v>2137</v>
      </c>
      <c r="E332" s="62" t="s">
        <v>2144</v>
      </c>
      <c r="F332" s="38" t="s">
        <v>2145</v>
      </c>
      <c r="G332" s="61">
        <v>9.7229581E8</v>
      </c>
      <c r="H332" s="40"/>
      <c r="I332" s="40"/>
      <c r="J332" s="40" t="s">
        <v>224</v>
      </c>
      <c r="K332" s="42" t="s">
        <v>2146</v>
      </c>
      <c r="L332" s="42" t="s">
        <v>67</v>
      </c>
      <c r="M332" s="53" t="s">
        <v>2141</v>
      </c>
      <c r="N332" s="43" t="s">
        <v>2142</v>
      </c>
      <c r="O332" s="44">
        <v>9.50035824E8</v>
      </c>
      <c r="P332" s="45" t="s">
        <v>67</v>
      </c>
      <c r="Q332" s="45" t="s">
        <v>67</v>
      </c>
      <c r="R332" s="46">
        <v>3.0</v>
      </c>
      <c r="S332" s="45" t="s">
        <v>67</v>
      </c>
      <c r="T332" s="64"/>
      <c r="U332" s="45" t="s">
        <v>67</v>
      </c>
      <c r="V332" s="45"/>
      <c r="W332" s="68">
        <v>46133.0</v>
      </c>
      <c r="X332" s="49" t="s">
        <v>2143</v>
      </c>
      <c r="Y332" s="49" t="s">
        <v>1370</v>
      </c>
      <c r="Z332" s="40" t="s">
        <v>1973</v>
      </c>
      <c r="AA332" s="45" t="s">
        <v>74</v>
      </c>
      <c r="AB332" s="45" t="s">
        <v>67</v>
      </c>
      <c r="AC332" s="45" t="s">
        <v>96</v>
      </c>
      <c r="AD332" s="51" t="s">
        <v>76</v>
      </c>
      <c r="AE332" s="54"/>
      <c r="AF332" s="45" t="s">
        <v>67</v>
      </c>
      <c r="AG332" s="45"/>
      <c r="AH332" s="45">
        <v>17.0</v>
      </c>
      <c r="AI332" s="45"/>
      <c r="AJ332" s="45"/>
      <c r="AK332" s="45"/>
      <c r="AL332" s="45"/>
      <c r="AM332" s="45"/>
      <c r="AN332" s="45">
        <v>0.0</v>
      </c>
      <c r="AO332" s="55"/>
      <c r="AP332" s="54"/>
      <c r="AQ332" s="54"/>
      <c r="AR332" s="54"/>
      <c r="AS332" s="54"/>
      <c r="AT332" s="54"/>
    </row>
    <row r="333">
      <c r="A333" s="35" t="s">
        <v>2147</v>
      </c>
      <c r="B333" s="36" t="s">
        <v>2126</v>
      </c>
      <c r="C333" s="36" t="s">
        <v>2148</v>
      </c>
      <c r="D333" s="36" t="s">
        <v>2149</v>
      </c>
      <c r="E333" s="62" t="s">
        <v>2150</v>
      </c>
      <c r="F333" s="38" t="s">
        <v>2151</v>
      </c>
      <c r="G333" s="58">
        <v>9.2216237E8</v>
      </c>
      <c r="H333" s="168"/>
      <c r="I333" s="168"/>
      <c r="J333" s="40" t="s">
        <v>224</v>
      </c>
      <c r="K333" s="41" t="s">
        <v>2152</v>
      </c>
      <c r="L333" s="42" t="s">
        <v>67</v>
      </c>
      <c r="M333" s="53" t="s">
        <v>2153</v>
      </c>
      <c r="N333" s="43" t="s">
        <v>2154</v>
      </c>
      <c r="O333" s="42" t="s">
        <v>2155</v>
      </c>
      <c r="P333" s="45" t="s">
        <v>67</v>
      </c>
      <c r="Q333" s="45" t="s">
        <v>67</v>
      </c>
      <c r="R333" s="46">
        <v>3.0</v>
      </c>
      <c r="S333" s="45" t="s">
        <v>67</v>
      </c>
      <c r="T333" s="65">
        <v>46130.0</v>
      </c>
      <c r="U333" s="45"/>
      <c r="V333" s="45"/>
      <c r="W333" s="68">
        <v>46132.0</v>
      </c>
      <c r="X333" s="49" t="s">
        <v>2156</v>
      </c>
      <c r="Y333" s="49" t="s">
        <v>1240</v>
      </c>
      <c r="Z333" s="169" t="s">
        <v>2157</v>
      </c>
      <c r="AA333" s="45" t="s">
        <v>74</v>
      </c>
      <c r="AB333" s="45" t="s">
        <v>67</v>
      </c>
      <c r="AC333" s="45" t="s">
        <v>135</v>
      </c>
      <c r="AD333" s="51" t="s">
        <v>76</v>
      </c>
      <c r="AE333" s="54"/>
      <c r="AF333" s="45" t="s">
        <v>67</v>
      </c>
      <c r="AG333" s="45"/>
      <c r="AH333" s="45">
        <v>37.0</v>
      </c>
      <c r="AI333" s="45"/>
      <c r="AJ333" s="45"/>
      <c r="AK333" s="45"/>
      <c r="AL333" s="45"/>
      <c r="AM333" s="45"/>
      <c r="AN333" s="45">
        <v>0.0</v>
      </c>
      <c r="AO333" s="60" t="s">
        <v>2158</v>
      </c>
      <c r="AP333" s="54"/>
      <c r="AQ333" s="54"/>
      <c r="AR333" s="54"/>
      <c r="AS333" s="54"/>
      <c r="AT333" s="54"/>
    </row>
    <row r="334">
      <c r="A334" s="35" t="s">
        <v>2159</v>
      </c>
      <c r="B334" s="36" t="s">
        <v>2126</v>
      </c>
      <c r="C334" s="36" t="s">
        <v>2160</v>
      </c>
      <c r="D334" s="36" t="s">
        <v>2161</v>
      </c>
      <c r="E334" s="62" t="s">
        <v>2162</v>
      </c>
      <c r="F334" s="38" t="s">
        <v>2163</v>
      </c>
      <c r="G334" s="61">
        <v>9.82462429E8</v>
      </c>
      <c r="H334" s="40"/>
      <c r="I334" s="40">
        <v>748.0</v>
      </c>
      <c r="J334" s="40" t="s">
        <v>65</v>
      </c>
      <c r="K334" s="41" t="s">
        <v>2164</v>
      </c>
      <c r="L334" s="42" t="s">
        <v>67</v>
      </c>
      <c r="M334" s="53" t="s">
        <v>2153</v>
      </c>
      <c r="N334" s="43" t="s">
        <v>2154</v>
      </c>
      <c r="O334" s="42" t="s">
        <v>2155</v>
      </c>
      <c r="P334" s="45" t="s">
        <v>67</v>
      </c>
      <c r="Q334" s="45" t="s">
        <v>67</v>
      </c>
      <c r="R334" s="46">
        <v>1.0</v>
      </c>
      <c r="S334" s="45" t="s">
        <v>67</v>
      </c>
      <c r="T334" s="65">
        <v>46128.0</v>
      </c>
      <c r="U334" s="45"/>
      <c r="V334" s="45"/>
      <c r="W334" s="68">
        <v>46132.0</v>
      </c>
      <c r="X334" s="49" t="s">
        <v>2165</v>
      </c>
      <c r="Y334" s="49" t="s">
        <v>1240</v>
      </c>
      <c r="Z334" s="169" t="s">
        <v>2157</v>
      </c>
      <c r="AA334" s="45" t="s">
        <v>74</v>
      </c>
      <c r="AB334" s="45" t="s">
        <v>67</v>
      </c>
      <c r="AC334" s="45" t="s">
        <v>458</v>
      </c>
      <c r="AD334" s="51" t="s">
        <v>76</v>
      </c>
      <c r="AE334" s="54"/>
      <c r="AF334" s="45" t="s">
        <v>67</v>
      </c>
      <c r="AG334" s="45"/>
      <c r="AH334" s="45">
        <v>11.0</v>
      </c>
      <c r="AI334" s="45"/>
      <c r="AJ334" s="45"/>
      <c r="AK334" s="45"/>
      <c r="AL334" s="45"/>
      <c r="AM334" s="45"/>
      <c r="AN334" s="45">
        <v>0.0</v>
      </c>
      <c r="AO334" s="55"/>
      <c r="AP334" s="54"/>
      <c r="AQ334" s="54"/>
      <c r="AR334" s="54"/>
      <c r="AS334" s="54"/>
      <c r="AT334" s="54"/>
    </row>
    <row r="335">
      <c r="A335" s="35" t="s">
        <v>2166</v>
      </c>
      <c r="B335" s="36" t="s">
        <v>2126</v>
      </c>
      <c r="C335" s="36" t="s">
        <v>2148</v>
      </c>
      <c r="D335" s="36" t="s">
        <v>2167</v>
      </c>
      <c r="E335" s="62" t="s">
        <v>2168</v>
      </c>
      <c r="F335" s="38" t="s">
        <v>2169</v>
      </c>
      <c r="G335" s="160"/>
      <c r="H335" s="40"/>
      <c r="I335" s="40"/>
      <c r="J335" s="40" t="s">
        <v>224</v>
      </c>
      <c r="K335" s="42" t="s">
        <v>2170</v>
      </c>
      <c r="L335" s="42" t="s">
        <v>67</v>
      </c>
      <c r="M335" s="53" t="s">
        <v>2153</v>
      </c>
      <c r="N335" s="43" t="s">
        <v>2154</v>
      </c>
      <c r="O335" s="42" t="s">
        <v>2155</v>
      </c>
      <c r="P335" s="45" t="s">
        <v>67</v>
      </c>
      <c r="Q335" s="45" t="s">
        <v>67</v>
      </c>
      <c r="R335" s="46">
        <v>1.0</v>
      </c>
      <c r="S335" s="45" t="s">
        <v>67</v>
      </c>
      <c r="T335" s="58" t="s">
        <v>2171</v>
      </c>
      <c r="U335" s="45"/>
      <c r="V335" s="45"/>
      <c r="W335" s="68">
        <v>46132.0</v>
      </c>
      <c r="X335" s="49" t="s">
        <v>2030</v>
      </c>
      <c r="Y335" s="49" t="s">
        <v>1240</v>
      </c>
      <c r="Z335" s="169" t="s">
        <v>2157</v>
      </c>
      <c r="AA335" s="45" t="s">
        <v>74</v>
      </c>
      <c r="AB335" s="45" t="s">
        <v>67</v>
      </c>
      <c r="AC335" s="45" t="s">
        <v>149</v>
      </c>
      <c r="AD335" s="51" t="s">
        <v>76</v>
      </c>
      <c r="AE335" s="54"/>
      <c r="AF335" s="45" t="s">
        <v>67</v>
      </c>
      <c r="AG335" s="45"/>
      <c r="AH335" s="45">
        <v>35.0</v>
      </c>
      <c r="AI335" s="45"/>
      <c r="AJ335" s="45"/>
      <c r="AK335" s="45"/>
      <c r="AL335" s="45"/>
      <c r="AM335" s="45"/>
      <c r="AN335" s="45">
        <v>0.0</v>
      </c>
      <c r="AO335" s="55"/>
      <c r="AP335" s="54"/>
      <c r="AQ335" s="54"/>
      <c r="AR335" s="54"/>
      <c r="AS335" s="54"/>
      <c r="AT335" s="54"/>
    </row>
    <row r="336">
      <c r="A336" s="35" t="s">
        <v>2172</v>
      </c>
      <c r="B336" s="36" t="s">
        <v>2126</v>
      </c>
      <c r="C336" s="36" t="s">
        <v>2148</v>
      </c>
      <c r="D336" s="36" t="s">
        <v>2173</v>
      </c>
      <c r="E336" s="62" t="s">
        <v>2174</v>
      </c>
      <c r="F336" s="38" t="s">
        <v>2175</v>
      </c>
      <c r="G336" s="61"/>
      <c r="H336" s="40"/>
      <c r="I336" s="40"/>
      <c r="J336" s="40" t="s">
        <v>224</v>
      </c>
      <c r="K336" s="41" t="s">
        <v>2176</v>
      </c>
      <c r="L336" s="42" t="s">
        <v>74</v>
      </c>
      <c r="M336" s="53" t="s">
        <v>2153</v>
      </c>
      <c r="N336" s="43" t="s">
        <v>2154</v>
      </c>
      <c r="O336" s="42" t="s">
        <v>2155</v>
      </c>
      <c r="P336" s="45" t="s">
        <v>67</v>
      </c>
      <c r="Q336" s="45" t="s">
        <v>67</v>
      </c>
      <c r="R336" s="46">
        <v>2.0</v>
      </c>
      <c r="S336" s="45" t="s">
        <v>67</v>
      </c>
      <c r="T336" s="65">
        <v>46132.0</v>
      </c>
      <c r="U336" s="45"/>
      <c r="V336" s="45"/>
      <c r="W336" s="68">
        <v>46133.0</v>
      </c>
      <c r="X336" s="170" t="s">
        <v>2177</v>
      </c>
      <c r="Y336" s="170" t="s">
        <v>1240</v>
      </c>
      <c r="Z336" s="169" t="s">
        <v>2157</v>
      </c>
      <c r="AA336" s="171" t="s">
        <v>74</v>
      </c>
      <c r="AB336" s="171" t="s">
        <v>67</v>
      </c>
      <c r="AC336" s="171" t="s">
        <v>458</v>
      </c>
      <c r="AD336" s="51" t="s">
        <v>76</v>
      </c>
      <c r="AE336" s="172"/>
      <c r="AF336" s="171" t="s">
        <v>226</v>
      </c>
      <c r="AG336" s="45"/>
      <c r="AH336" s="45">
        <v>32.0</v>
      </c>
      <c r="AI336" s="45"/>
      <c r="AJ336" s="45"/>
      <c r="AK336" s="45"/>
      <c r="AL336" s="45"/>
      <c r="AM336" s="45"/>
      <c r="AN336" s="45">
        <v>0.0</v>
      </c>
      <c r="AO336" s="60"/>
      <c r="AP336" s="54"/>
      <c r="AQ336" s="54"/>
      <c r="AR336" s="54"/>
      <c r="AS336" s="54"/>
      <c r="AT336" s="54"/>
    </row>
    <row r="337">
      <c r="A337" s="35" t="s">
        <v>2178</v>
      </c>
      <c r="B337" s="36" t="s">
        <v>2126</v>
      </c>
      <c r="C337" s="36" t="s">
        <v>2136</v>
      </c>
      <c r="D337" s="36" t="s">
        <v>2179</v>
      </c>
      <c r="E337" s="62" t="s">
        <v>2180</v>
      </c>
      <c r="F337" s="38" t="s">
        <v>2181</v>
      </c>
      <c r="G337" s="61">
        <v>9.302723E8</v>
      </c>
      <c r="H337" s="40">
        <v>2917.0</v>
      </c>
      <c r="I337" s="40">
        <v>1199.0</v>
      </c>
      <c r="J337" s="40" t="s">
        <v>65</v>
      </c>
      <c r="K337" s="41" t="s">
        <v>2182</v>
      </c>
      <c r="L337" s="42" t="s">
        <v>67</v>
      </c>
      <c r="M337" s="53" t="s">
        <v>2141</v>
      </c>
      <c r="N337" s="43" t="s">
        <v>2142</v>
      </c>
      <c r="O337" s="44">
        <v>9.50035824E8</v>
      </c>
      <c r="P337" s="45" t="s">
        <v>67</v>
      </c>
      <c r="Q337" s="45" t="s">
        <v>67</v>
      </c>
      <c r="R337" s="46">
        <v>2.0</v>
      </c>
      <c r="S337" s="45" t="s">
        <v>67</v>
      </c>
      <c r="T337" s="65">
        <v>46132.0</v>
      </c>
      <c r="U337" s="45"/>
      <c r="V337" s="45"/>
      <c r="W337" s="68">
        <v>46133.0</v>
      </c>
      <c r="X337" s="49" t="s">
        <v>2183</v>
      </c>
      <c r="Y337" s="49" t="s">
        <v>1240</v>
      </c>
      <c r="Z337" s="169" t="s">
        <v>2157</v>
      </c>
      <c r="AA337" s="45" t="s">
        <v>74</v>
      </c>
      <c r="AB337" s="45" t="s">
        <v>67</v>
      </c>
      <c r="AC337" s="45" t="s">
        <v>86</v>
      </c>
      <c r="AD337" s="51" t="s">
        <v>76</v>
      </c>
      <c r="AE337" s="54"/>
      <c r="AF337" s="45" t="s">
        <v>67</v>
      </c>
      <c r="AG337" s="45"/>
      <c r="AH337" s="45">
        <v>61.0</v>
      </c>
      <c r="AI337" s="45"/>
      <c r="AJ337" s="45"/>
      <c r="AK337" s="45"/>
      <c r="AL337" s="45"/>
      <c r="AM337" s="45"/>
      <c r="AN337" s="45">
        <v>0.0</v>
      </c>
      <c r="AO337" s="55"/>
      <c r="AP337" s="54"/>
      <c r="AQ337" s="54"/>
      <c r="AR337" s="54"/>
      <c r="AS337" s="54"/>
      <c r="AT337" s="54"/>
    </row>
    <row r="338">
      <c r="A338" s="35" t="s">
        <v>2178</v>
      </c>
      <c r="B338" s="36" t="s">
        <v>2126</v>
      </c>
      <c r="C338" s="36" t="s">
        <v>2136</v>
      </c>
      <c r="D338" s="36" t="s">
        <v>2179</v>
      </c>
      <c r="E338" s="62" t="s">
        <v>2184</v>
      </c>
      <c r="F338" s="38" t="s">
        <v>2185</v>
      </c>
      <c r="G338" s="61">
        <v>9.74686418E8</v>
      </c>
      <c r="H338" s="40">
        <v>2886.0</v>
      </c>
      <c r="I338" s="40">
        <v>779.0</v>
      </c>
      <c r="J338" s="40" t="s">
        <v>65</v>
      </c>
      <c r="K338" s="42" t="s">
        <v>2186</v>
      </c>
      <c r="L338" s="42" t="s">
        <v>67</v>
      </c>
      <c r="M338" s="53" t="s">
        <v>2141</v>
      </c>
      <c r="N338" s="43" t="s">
        <v>2142</v>
      </c>
      <c r="O338" s="44">
        <v>9.50035824E8</v>
      </c>
      <c r="P338" s="45" t="s">
        <v>67</v>
      </c>
      <c r="Q338" s="45" t="s">
        <v>67</v>
      </c>
      <c r="R338" s="46">
        <v>2.0</v>
      </c>
      <c r="S338" s="45" t="s">
        <v>67</v>
      </c>
      <c r="T338" s="65">
        <v>46132.0</v>
      </c>
      <c r="U338" s="45"/>
      <c r="V338" s="45"/>
      <c r="W338" s="68">
        <v>46133.0</v>
      </c>
      <c r="X338" s="49" t="s">
        <v>2183</v>
      </c>
      <c r="Y338" s="49" t="s">
        <v>1240</v>
      </c>
      <c r="Z338" s="169" t="s">
        <v>2157</v>
      </c>
      <c r="AA338" s="45" t="s">
        <v>74</v>
      </c>
      <c r="AB338" s="45" t="s">
        <v>67</v>
      </c>
      <c r="AC338" s="45" t="s">
        <v>86</v>
      </c>
      <c r="AD338" s="51" t="s">
        <v>76</v>
      </c>
      <c r="AE338" s="54"/>
      <c r="AF338" s="45" t="s">
        <v>67</v>
      </c>
      <c r="AG338" s="45"/>
      <c r="AH338" s="173">
        <v>0.0</v>
      </c>
      <c r="AI338" s="173"/>
      <c r="AJ338" s="173"/>
      <c r="AK338" s="173"/>
      <c r="AL338" s="173"/>
      <c r="AM338" s="173"/>
      <c r="AN338" s="45">
        <v>0.0</v>
      </c>
      <c r="AO338" s="55"/>
      <c r="AP338" s="54"/>
      <c r="AQ338" s="54"/>
      <c r="AR338" s="54"/>
      <c r="AS338" s="54"/>
      <c r="AT338" s="54"/>
    </row>
    <row r="339">
      <c r="A339" s="35" t="s">
        <v>2187</v>
      </c>
      <c r="B339" s="36" t="s">
        <v>2126</v>
      </c>
      <c r="C339" s="36" t="s">
        <v>2188</v>
      </c>
      <c r="D339" s="36" t="s">
        <v>2189</v>
      </c>
      <c r="E339" s="62" t="s">
        <v>2190</v>
      </c>
      <c r="F339" s="38" t="s">
        <v>2191</v>
      </c>
      <c r="G339" s="61">
        <v>9.13777288E8</v>
      </c>
      <c r="H339" s="40"/>
      <c r="I339" s="40">
        <v>997.0</v>
      </c>
      <c r="J339" s="40" t="s">
        <v>65</v>
      </c>
      <c r="K339" s="41" t="s">
        <v>2192</v>
      </c>
      <c r="L339" s="42" t="s">
        <v>67</v>
      </c>
      <c r="M339" s="41" t="s">
        <v>1497</v>
      </c>
      <c r="N339" s="43" t="s">
        <v>1498</v>
      </c>
      <c r="O339" s="44">
        <v>0.0</v>
      </c>
      <c r="P339" s="45"/>
      <c r="Q339" s="45" t="s">
        <v>67</v>
      </c>
      <c r="R339" s="46">
        <v>1.0</v>
      </c>
      <c r="S339" s="45" t="s">
        <v>67</v>
      </c>
      <c r="T339" s="65">
        <v>46129.0</v>
      </c>
      <c r="U339" s="45"/>
      <c r="V339" s="45"/>
      <c r="W339" s="63" t="s">
        <v>2193</v>
      </c>
      <c r="X339" s="49" t="s">
        <v>2194</v>
      </c>
      <c r="Y339" s="49" t="s">
        <v>1240</v>
      </c>
      <c r="Z339" s="169" t="s">
        <v>2157</v>
      </c>
      <c r="AA339" s="45" t="s">
        <v>74</v>
      </c>
      <c r="AB339" s="45" t="s">
        <v>67</v>
      </c>
      <c r="AC339" s="45" t="s">
        <v>475</v>
      </c>
      <c r="AD339" s="51" t="s">
        <v>76</v>
      </c>
      <c r="AE339" s="54"/>
      <c r="AF339" s="45" t="s">
        <v>67</v>
      </c>
      <c r="AG339" s="45"/>
      <c r="AH339" s="45">
        <v>21.0</v>
      </c>
      <c r="AI339" s="45"/>
      <c r="AJ339" s="45"/>
      <c r="AK339" s="45"/>
      <c r="AL339" s="45"/>
      <c r="AM339" s="45"/>
      <c r="AN339" s="45">
        <v>0.0</v>
      </c>
      <c r="AO339" s="55"/>
      <c r="AP339" s="54"/>
      <c r="AQ339" s="54"/>
      <c r="AR339" s="54"/>
      <c r="AS339" s="54"/>
      <c r="AT339" s="54"/>
    </row>
    <row r="340">
      <c r="A340" s="35" t="s">
        <v>2195</v>
      </c>
      <c r="B340" s="36" t="s">
        <v>2126</v>
      </c>
      <c r="C340" s="36" t="s">
        <v>2136</v>
      </c>
      <c r="D340" s="36" t="s">
        <v>2196</v>
      </c>
      <c r="E340" s="62" t="s">
        <v>2197</v>
      </c>
      <c r="F340" s="38" t="s">
        <v>2198</v>
      </c>
      <c r="G340" s="61">
        <v>9.15930895E8</v>
      </c>
      <c r="H340" s="40">
        <v>2888.0</v>
      </c>
      <c r="I340" s="40">
        <v>781.0</v>
      </c>
      <c r="J340" s="40" t="s">
        <v>65</v>
      </c>
      <c r="K340" s="42" t="s">
        <v>2199</v>
      </c>
      <c r="L340" s="42" t="s">
        <v>67</v>
      </c>
      <c r="M340" s="53" t="s">
        <v>2141</v>
      </c>
      <c r="N340" s="43" t="s">
        <v>2142</v>
      </c>
      <c r="O340" s="44">
        <v>9.50035824E8</v>
      </c>
      <c r="P340" s="45" t="s">
        <v>67</v>
      </c>
      <c r="Q340" s="45" t="s">
        <v>67</v>
      </c>
      <c r="R340" s="46">
        <v>2.0</v>
      </c>
      <c r="S340" s="45" t="s">
        <v>67</v>
      </c>
      <c r="T340" s="65">
        <v>46130.0</v>
      </c>
      <c r="U340" s="45"/>
      <c r="V340" s="45"/>
      <c r="W340" s="68">
        <v>46132.0</v>
      </c>
      <c r="X340" s="49" t="s">
        <v>2200</v>
      </c>
      <c r="Y340" s="49" t="s">
        <v>1240</v>
      </c>
      <c r="Z340" s="169" t="s">
        <v>2157</v>
      </c>
      <c r="AA340" s="45" t="s">
        <v>74</v>
      </c>
      <c r="AB340" s="45" t="s">
        <v>67</v>
      </c>
      <c r="AC340" s="45" t="s">
        <v>287</v>
      </c>
      <c r="AD340" s="51" t="s">
        <v>76</v>
      </c>
      <c r="AE340" s="54"/>
      <c r="AF340" s="45" t="s">
        <v>67</v>
      </c>
      <c r="AG340" s="45"/>
      <c r="AH340" s="45">
        <v>28.0</v>
      </c>
      <c r="AI340" s="45"/>
      <c r="AJ340" s="45"/>
      <c r="AK340" s="45"/>
      <c r="AL340" s="45"/>
      <c r="AM340" s="45"/>
      <c r="AN340" s="45">
        <v>0.0</v>
      </c>
      <c r="AO340" s="55"/>
      <c r="AP340" s="54"/>
      <c r="AQ340" s="67" t="s">
        <v>2201</v>
      </c>
      <c r="AR340" s="54"/>
      <c r="AS340" s="54"/>
      <c r="AT340" s="54"/>
    </row>
    <row r="341">
      <c r="A341" s="35" t="s">
        <v>2195</v>
      </c>
      <c r="B341" s="36" t="s">
        <v>2126</v>
      </c>
      <c r="C341" s="36" t="s">
        <v>2136</v>
      </c>
      <c r="D341" s="36" t="s">
        <v>2196</v>
      </c>
      <c r="E341" s="62" t="s">
        <v>2202</v>
      </c>
      <c r="F341" s="38" t="s">
        <v>2203</v>
      </c>
      <c r="G341" s="61">
        <v>9.21723506E8</v>
      </c>
      <c r="H341" s="40">
        <v>2887.0</v>
      </c>
      <c r="I341" s="40">
        <v>780.0</v>
      </c>
      <c r="J341" s="40" t="s">
        <v>65</v>
      </c>
      <c r="K341" s="41" t="s">
        <v>2204</v>
      </c>
      <c r="L341" s="42" t="s">
        <v>67</v>
      </c>
      <c r="M341" s="53" t="s">
        <v>2141</v>
      </c>
      <c r="N341" s="43" t="s">
        <v>2142</v>
      </c>
      <c r="O341" s="44">
        <v>9.50035824E8</v>
      </c>
      <c r="P341" s="45" t="s">
        <v>67</v>
      </c>
      <c r="Q341" s="45" t="s">
        <v>67</v>
      </c>
      <c r="R341" s="46">
        <v>2.0</v>
      </c>
      <c r="S341" s="45" t="s">
        <v>67</v>
      </c>
      <c r="T341" s="65">
        <v>46130.0</v>
      </c>
      <c r="U341" s="45"/>
      <c r="V341" s="45"/>
      <c r="W341" s="68">
        <v>46132.0</v>
      </c>
      <c r="X341" s="49" t="s">
        <v>2200</v>
      </c>
      <c r="Y341" s="49" t="s">
        <v>1240</v>
      </c>
      <c r="Z341" s="169" t="s">
        <v>2157</v>
      </c>
      <c r="AA341" s="45" t="s">
        <v>74</v>
      </c>
      <c r="AB341" s="45" t="s">
        <v>67</v>
      </c>
      <c r="AC341" s="45" t="s">
        <v>287</v>
      </c>
      <c r="AD341" s="51" t="s">
        <v>76</v>
      </c>
      <c r="AE341" s="54"/>
      <c r="AF341" s="45" t="s">
        <v>67</v>
      </c>
      <c r="AG341" s="45"/>
      <c r="AH341" s="173">
        <v>0.0</v>
      </c>
      <c r="AI341" s="173"/>
      <c r="AJ341" s="173"/>
      <c r="AK341" s="173"/>
      <c r="AL341" s="173"/>
      <c r="AM341" s="173"/>
      <c r="AN341" s="45">
        <v>0.0</v>
      </c>
      <c r="AO341" s="55"/>
      <c r="AP341" s="54"/>
      <c r="AQ341" s="54"/>
      <c r="AR341" s="54"/>
      <c r="AS341" s="54"/>
      <c r="AT341" s="54"/>
    </row>
    <row r="342">
      <c r="A342" s="35" t="s">
        <v>2205</v>
      </c>
      <c r="B342" s="36" t="s">
        <v>2126</v>
      </c>
      <c r="C342" s="36" t="s">
        <v>2127</v>
      </c>
      <c r="D342" s="36" t="s">
        <v>2206</v>
      </c>
      <c r="E342" s="62" t="s">
        <v>2207</v>
      </c>
      <c r="F342" s="38" t="s">
        <v>2208</v>
      </c>
      <c r="G342" s="61">
        <v>9.17037047E8</v>
      </c>
      <c r="H342" s="40"/>
      <c r="I342" s="40"/>
      <c r="J342" s="40" t="s">
        <v>65</v>
      </c>
      <c r="K342" s="41" t="s">
        <v>2209</v>
      </c>
      <c r="L342" s="42" t="s">
        <v>67</v>
      </c>
      <c r="M342" s="43" t="s">
        <v>2132</v>
      </c>
      <c r="N342" s="43" t="s">
        <v>2133</v>
      </c>
      <c r="O342" s="42">
        <v>9.14383274E8</v>
      </c>
      <c r="P342" s="45"/>
      <c r="Q342" s="45" t="s">
        <v>67</v>
      </c>
      <c r="R342" s="46">
        <v>1.0</v>
      </c>
      <c r="S342" s="45" t="s">
        <v>67</v>
      </c>
      <c r="T342" s="65">
        <v>46129.0</v>
      </c>
      <c r="U342" s="45"/>
      <c r="V342" s="45"/>
      <c r="W342" s="68">
        <v>46133.0</v>
      </c>
      <c r="X342" s="49" t="s">
        <v>2210</v>
      </c>
      <c r="Y342" s="49" t="s">
        <v>1240</v>
      </c>
      <c r="Z342" s="169" t="s">
        <v>2157</v>
      </c>
      <c r="AA342" s="45" t="s">
        <v>67</v>
      </c>
      <c r="AB342" s="45" t="s">
        <v>67</v>
      </c>
      <c r="AC342" s="45" t="s">
        <v>458</v>
      </c>
      <c r="AD342" s="51" t="s">
        <v>76</v>
      </c>
      <c r="AE342" s="54"/>
      <c r="AF342" s="45" t="s">
        <v>67</v>
      </c>
      <c r="AG342" s="45"/>
      <c r="AH342" s="45">
        <v>17.0</v>
      </c>
      <c r="AI342" s="45">
        <v>6.0</v>
      </c>
      <c r="AJ342" s="45"/>
      <c r="AK342" s="45"/>
      <c r="AL342" s="45"/>
      <c r="AM342" s="45"/>
      <c r="AN342" s="45">
        <v>0.0</v>
      </c>
      <c r="AO342" s="55"/>
      <c r="AP342" s="54"/>
      <c r="AQ342" s="54"/>
      <c r="AR342" s="54"/>
      <c r="AS342" s="54"/>
      <c r="AT342" s="54"/>
    </row>
    <row r="343">
      <c r="A343" s="57" t="s">
        <v>2211</v>
      </c>
      <c r="B343" s="174" t="s">
        <v>2126</v>
      </c>
      <c r="C343" s="174" t="s">
        <v>2188</v>
      </c>
      <c r="D343" s="174" t="s">
        <v>2212</v>
      </c>
      <c r="E343" s="62" t="s">
        <v>2213</v>
      </c>
      <c r="F343" s="38" t="s">
        <v>2214</v>
      </c>
      <c r="G343" s="61">
        <v>9.9339301E8</v>
      </c>
      <c r="H343" s="40">
        <v>2954.0</v>
      </c>
      <c r="I343" s="40">
        <v>998.0</v>
      </c>
      <c r="J343" s="40" t="s">
        <v>65</v>
      </c>
      <c r="K343" s="42" t="s">
        <v>2215</v>
      </c>
      <c r="L343" s="42" t="s">
        <v>67</v>
      </c>
      <c r="M343" s="53" t="s">
        <v>1497</v>
      </c>
      <c r="N343" s="43" t="s">
        <v>1498</v>
      </c>
      <c r="O343" s="44">
        <v>0.0</v>
      </c>
      <c r="P343" s="45" t="s">
        <v>67</v>
      </c>
      <c r="Q343" s="45" t="s">
        <v>67</v>
      </c>
      <c r="R343" s="46">
        <v>1.0</v>
      </c>
      <c r="S343" s="45" t="s">
        <v>67</v>
      </c>
      <c r="T343" s="65">
        <v>46128.0</v>
      </c>
      <c r="U343" s="45"/>
      <c r="V343" s="45"/>
      <c r="W343" s="63" t="s">
        <v>2216</v>
      </c>
      <c r="X343" s="49" t="s">
        <v>2217</v>
      </c>
      <c r="Y343" s="49" t="s">
        <v>378</v>
      </c>
      <c r="Z343" s="169" t="s">
        <v>2157</v>
      </c>
      <c r="AA343" s="45" t="s">
        <v>74</v>
      </c>
      <c r="AB343" s="45" t="s">
        <v>67</v>
      </c>
      <c r="AC343" s="45" t="s">
        <v>195</v>
      </c>
      <c r="AD343" s="51" t="s">
        <v>76</v>
      </c>
      <c r="AE343" s="175"/>
      <c r="AF343" s="69" t="s">
        <v>74</v>
      </c>
      <c r="AG343" s="69"/>
      <c r="AH343" s="69">
        <v>17.0</v>
      </c>
      <c r="AI343" s="69"/>
      <c r="AJ343" s="69"/>
      <c r="AK343" s="69"/>
      <c r="AL343" s="69"/>
      <c r="AM343" s="69"/>
      <c r="AN343" s="69">
        <v>0.0</v>
      </c>
      <c r="AO343" s="176"/>
      <c r="AP343" s="176" t="s">
        <v>2218</v>
      </c>
      <c r="AQ343" s="67" t="s">
        <v>2219</v>
      </c>
      <c r="AR343" s="54"/>
      <c r="AS343" s="54"/>
      <c r="AT343" s="54"/>
    </row>
    <row r="344">
      <c r="A344" s="35" t="s">
        <v>2220</v>
      </c>
      <c r="B344" s="36" t="s">
        <v>2126</v>
      </c>
      <c r="C344" s="36" t="s">
        <v>2160</v>
      </c>
      <c r="D344" s="36" t="s">
        <v>2221</v>
      </c>
      <c r="E344" s="62" t="s">
        <v>2222</v>
      </c>
      <c r="F344" s="38" t="s">
        <v>2223</v>
      </c>
      <c r="G344" s="61">
        <v>9.27319322E8</v>
      </c>
      <c r="H344" s="40"/>
      <c r="I344" s="40">
        <v>749.0</v>
      </c>
      <c r="J344" s="40" t="s">
        <v>65</v>
      </c>
      <c r="K344" s="41" t="s">
        <v>2224</v>
      </c>
      <c r="L344" s="42" t="s">
        <v>67</v>
      </c>
      <c r="M344" s="53" t="s">
        <v>2153</v>
      </c>
      <c r="N344" s="43" t="s">
        <v>2154</v>
      </c>
      <c r="O344" s="42" t="s">
        <v>2155</v>
      </c>
      <c r="P344" s="45" t="s">
        <v>67</v>
      </c>
      <c r="Q344" s="45" t="s">
        <v>67</v>
      </c>
      <c r="R344" s="46">
        <v>3.0</v>
      </c>
      <c r="S344" s="45" t="s">
        <v>67</v>
      </c>
      <c r="T344" s="65">
        <v>46128.0</v>
      </c>
      <c r="U344" s="45"/>
      <c r="V344" s="45"/>
      <c r="W344" s="68">
        <v>46132.0</v>
      </c>
      <c r="X344" s="49" t="s">
        <v>2225</v>
      </c>
      <c r="Y344" s="49" t="s">
        <v>1240</v>
      </c>
      <c r="Z344" s="169" t="s">
        <v>2157</v>
      </c>
      <c r="AA344" s="45" t="s">
        <v>74</v>
      </c>
      <c r="AB344" s="45" t="s">
        <v>67</v>
      </c>
      <c r="AC344" s="45" t="s">
        <v>458</v>
      </c>
      <c r="AD344" s="51" t="s">
        <v>76</v>
      </c>
      <c r="AE344" s="54"/>
      <c r="AF344" s="45" t="s">
        <v>74</v>
      </c>
      <c r="AG344" s="45"/>
      <c r="AH344" s="45">
        <v>26.0</v>
      </c>
      <c r="AI344" s="45"/>
      <c r="AJ344" s="45"/>
      <c r="AK344" s="45"/>
      <c r="AL344" s="45"/>
      <c r="AM344" s="45"/>
      <c r="AN344" s="45">
        <v>1.0</v>
      </c>
      <c r="AO344" s="67"/>
      <c r="AP344" s="54"/>
      <c r="AQ344" s="54"/>
      <c r="AR344" s="54"/>
      <c r="AS344" s="54"/>
      <c r="AT344" s="54"/>
    </row>
    <row r="345">
      <c r="A345" s="35" t="s">
        <v>2226</v>
      </c>
      <c r="B345" s="36" t="s">
        <v>2126</v>
      </c>
      <c r="C345" s="36" t="s">
        <v>2160</v>
      </c>
      <c r="D345" s="36" t="s">
        <v>2227</v>
      </c>
      <c r="E345" s="62" t="s">
        <v>2228</v>
      </c>
      <c r="F345" s="38" t="s">
        <v>2229</v>
      </c>
      <c r="G345" s="61">
        <v>9.28913038E8</v>
      </c>
      <c r="H345" s="40"/>
      <c r="I345" s="40">
        <v>750.0</v>
      </c>
      <c r="J345" s="40" t="s">
        <v>65</v>
      </c>
      <c r="K345" s="41" t="s">
        <v>2230</v>
      </c>
      <c r="L345" s="42" t="s">
        <v>67</v>
      </c>
      <c r="M345" s="53" t="s">
        <v>2153</v>
      </c>
      <c r="N345" s="43" t="s">
        <v>2154</v>
      </c>
      <c r="O345" s="42" t="s">
        <v>2155</v>
      </c>
      <c r="P345" s="45" t="s">
        <v>67</v>
      </c>
      <c r="Q345" s="45" t="s">
        <v>67</v>
      </c>
      <c r="R345" s="46">
        <v>3.0</v>
      </c>
      <c r="S345" s="45" t="s">
        <v>67</v>
      </c>
      <c r="T345" s="65">
        <v>46129.0</v>
      </c>
      <c r="U345" s="45"/>
      <c r="V345" s="45"/>
      <c r="W345" s="68">
        <v>46133.0</v>
      </c>
      <c r="X345" s="49" t="s">
        <v>2231</v>
      </c>
      <c r="Y345" s="49" t="s">
        <v>378</v>
      </c>
      <c r="Z345" s="169" t="s">
        <v>2157</v>
      </c>
      <c r="AA345" s="45" t="s">
        <v>74</v>
      </c>
      <c r="AB345" s="45" t="s">
        <v>67</v>
      </c>
      <c r="AC345" s="45" t="s">
        <v>195</v>
      </c>
      <c r="AD345" s="51" t="s">
        <v>76</v>
      </c>
      <c r="AE345" s="54"/>
      <c r="AF345" s="45" t="s">
        <v>67</v>
      </c>
      <c r="AG345" s="45"/>
      <c r="AH345" s="45">
        <v>20.0</v>
      </c>
      <c r="AI345" s="45"/>
      <c r="AJ345" s="45"/>
      <c r="AK345" s="45"/>
      <c r="AL345" s="45"/>
      <c r="AM345" s="45"/>
      <c r="AN345" s="45">
        <v>0.0</v>
      </c>
      <c r="AO345" s="55"/>
      <c r="AP345" s="54"/>
      <c r="AQ345" s="54"/>
      <c r="AR345" s="54"/>
      <c r="AS345" s="54"/>
      <c r="AT345" s="54"/>
    </row>
    <row r="346">
      <c r="A346" s="35" t="s">
        <v>2232</v>
      </c>
      <c r="B346" s="36" t="s">
        <v>2126</v>
      </c>
      <c r="C346" s="36" t="s">
        <v>2148</v>
      </c>
      <c r="D346" s="36" t="s">
        <v>2233</v>
      </c>
      <c r="E346" s="62" t="s">
        <v>2234</v>
      </c>
      <c r="F346" s="38" t="s">
        <v>2235</v>
      </c>
      <c r="G346" s="61"/>
      <c r="H346" s="40"/>
      <c r="I346" s="40"/>
      <c r="J346" s="40" t="s">
        <v>224</v>
      </c>
      <c r="K346" s="42" t="s">
        <v>2236</v>
      </c>
      <c r="L346" s="42" t="s">
        <v>74</v>
      </c>
      <c r="M346" s="53" t="s">
        <v>2153</v>
      </c>
      <c r="N346" s="43" t="s">
        <v>2154</v>
      </c>
      <c r="O346" s="42" t="s">
        <v>2155</v>
      </c>
      <c r="P346" s="45" t="s">
        <v>67</v>
      </c>
      <c r="Q346" s="45" t="s">
        <v>67</v>
      </c>
      <c r="R346" s="46">
        <v>1.0</v>
      </c>
      <c r="S346" s="45" t="s">
        <v>67</v>
      </c>
      <c r="T346" s="58" t="s">
        <v>2237</v>
      </c>
      <c r="U346" s="45"/>
      <c r="V346" s="45"/>
      <c r="W346" s="68">
        <v>46133.0</v>
      </c>
      <c r="X346" s="49" t="s">
        <v>2238</v>
      </c>
      <c r="Y346" s="49" t="s">
        <v>1240</v>
      </c>
      <c r="Z346" s="169" t="s">
        <v>2157</v>
      </c>
      <c r="AA346" s="45" t="s">
        <v>74</v>
      </c>
      <c r="AB346" s="45" t="s">
        <v>67</v>
      </c>
      <c r="AC346" s="45" t="s">
        <v>475</v>
      </c>
      <c r="AD346" s="51" t="s">
        <v>76</v>
      </c>
      <c r="AE346" s="54"/>
      <c r="AF346" s="45" t="s">
        <v>226</v>
      </c>
      <c r="AG346" s="45"/>
      <c r="AH346" s="45">
        <v>95.0</v>
      </c>
      <c r="AI346" s="45"/>
      <c r="AJ346" s="45"/>
      <c r="AK346" s="45"/>
      <c r="AL346" s="45"/>
      <c r="AM346" s="45"/>
      <c r="AN346" s="45">
        <v>0.0</v>
      </c>
      <c r="AO346" s="55"/>
      <c r="AP346" s="54"/>
      <c r="AQ346" s="54"/>
      <c r="AR346" s="54"/>
      <c r="AS346" s="54"/>
      <c r="AT346" s="54"/>
    </row>
    <row r="347">
      <c r="A347" s="35" t="s">
        <v>2239</v>
      </c>
      <c r="B347" s="36" t="s">
        <v>2126</v>
      </c>
      <c r="C347" s="36" t="s">
        <v>2136</v>
      </c>
      <c r="D347" s="36" t="s">
        <v>2240</v>
      </c>
      <c r="E347" s="62" t="s">
        <v>2241</v>
      </c>
      <c r="F347" s="38" t="s">
        <v>2242</v>
      </c>
      <c r="G347" s="61">
        <v>9.31540229E8</v>
      </c>
      <c r="H347" s="40">
        <v>2889.0</v>
      </c>
      <c r="I347" s="40">
        <v>782.0</v>
      </c>
      <c r="J347" s="40" t="s">
        <v>65</v>
      </c>
      <c r="K347" s="41" t="s">
        <v>2243</v>
      </c>
      <c r="L347" s="42" t="s">
        <v>67</v>
      </c>
      <c r="M347" s="53" t="s">
        <v>2141</v>
      </c>
      <c r="N347" s="43" t="s">
        <v>2142</v>
      </c>
      <c r="O347" s="44">
        <v>9.50035824E8</v>
      </c>
      <c r="P347" s="45" t="s">
        <v>67</v>
      </c>
      <c r="Q347" s="45" t="s">
        <v>67</v>
      </c>
      <c r="R347" s="46">
        <v>2.0</v>
      </c>
      <c r="S347" s="45" t="s">
        <v>67</v>
      </c>
      <c r="T347" s="58" t="s">
        <v>2244</v>
      </c>
      <c r="U347" s="45"/>
      <c r="V347" s="45"/>
      <c r="W347" s="68">
        <v>46132.0</v>
      </c>
      <c r="X347" s="49" t="s">
        <v>2245</v>
      </c>
      <c r="Y347" s="49" t="s">
        <v>1240</v>
      </c>
      <c r="Z347" s="169" t="s">
        <v>2157</v>
      </c>
      <c r="AA347" s="45" t="s">
        <v>74</v>
      </c>
      <c r="AB347" s="45" t="s">
        <v>67</v>
      </c>
      <c r="AC347" s="45" t="s">
        <v>195</v>
      </c>
      <c r="AD347" s="51" t="s">
        <v>76</v>
      </c>
      <c r="AE347" s="54"/>
      <c r="AF347" s="45" t="s">
        <v>67</v>
      </c>
      <c r="AG347" s="45"/>
      <c r="AH347" s="45">
        <v>10.0</v>
      </c>
      <c r="AI347" s="45"/>
      <c r="AJ347" s="45"/>
      <c r="AK347" s="45"/>
      <c r="AL347" s="45"/>
      <c r="AM347" s="45"/>
      <c r="AN347" s="45">
        <v>0.0</v>
      </c>
      <c r="AO347" s="55"/>
      <c r="AP347" s="54"/>
      <c r="AQ347" s="54"/>
      <c r="AR347" s="54"/>
      <c r="AS347" s="54"/>
      <c r="AT347" s="54"/>
    </row>
    <row r="348">
      <c r="A348" s="35" t="s">
        <v>2239</v>
      </c>
      <c r="B348" s="36" t="s">
        <v>2126</v>
      </c>
      <c r="C348" s="36" t="s">
        <v>2136</v>
      </c>
      <c r="D348" s="36" t="s">
        <v>2240</v>
      </c>
      <c r="E348" s="62" t="s">
        <v>2246</v>
      </c>
      <c r="F348" s="38" t="s">
        <v>2247</v>
      </c>
      <c r="G348" s="61">
        <v>9.99276002E8</v>
      </c>
      <c r="H348" s="40"/>
      <c r="I348" s="40"/>
      <c r="J348" s="40" t="s">
        <v>224</v>
      </c>
      <c r="K348" s="42" t="s">
        <v>2248</v>
      </c>
      <c r="L348" s="42" t="s">
        <v>67</v>
      </c>
      <c r="M348" s="53" t="s">
        <v>2141</v>
      </c>
      <c r="N348" s="43" t="s">
        <v>2142</v>
      </c>
      <c r="O348" s="44">
        <v>9.50035824E8</v>
      </c>
      <c r="P348" s="45" t="s">
        <v>67</v>
      </c>
      <c r="Q348" s="45" t="s">
        <v>67</v>
      </c>
      <c r="R348" s="46">
        <v>2.0</v>
      </c>
      <c r="S348" s="45" t="s">
        <v>67</v>
      </c>
      <c r="T348" s="58" t="s">
        <v>2249</v>
      </c>
      <c r="U348" s="45"/>
      <c r="V348" s="45"/>
      <c r="W348" s="68">
        <v>46133.0</v>
      </c>
      <c r="X348" s="49" t="s">
        <v>2245</v>
      </c>
      <c r="Y348" s="49" t="s">
        <v>1240</v>
      </c>
      <c r="Z348" s="169" t="s">
        <v>2157</v>
      </c>
      <c r="AA348" s="45" t="s">
        <v>74</v>
      </c>
      <c r="AB348" s="45" t="s">
        <v>67</v>
      </c>
      <c r="AC348" s="45" t="s">
        <v>195</v>
      </c>
      <c r="AD348" s="51" t="s">
        <v>76</v>
      </c>
      <c r="AE348" s="54"/>
      <c r="AF348" s="45" t="s">
        <v>67</v>
      </c>
      <c r="AG348" s="45"/>
      <c r="AH348" s="173">
        <v>0.0</v>
      </c>
      <c r="AI348" s="173"/>
      <c r="AJ348" s="173"/>
      <c r="AK348" s="173"/>
      <c r="AL348" s="173"/>
      <c r="AM348" s="173"/>
      <c r="AN348" s="45">
        <v>0.0</v>
      </c>
      <c r="AO348" s="55"/>
      <c r="AP348" s="54"/>
      <c r="AQ348" s="54"/>
      <c r="AR348" s="54"/>
      <c r="AS348" s="54"/>
      <c r="AT348" s="54"/>
    </row>
    <row r="349">
      <c r="A349" s="35" t="s">
        <v>2250</v>
      </c>
      <c r="B349" s="36" t="s">
        <v>2126</v>
      </c>
      <c r="C349" s="36" t="s">
        <v>2127</v>
      </c>
      <c r="D349" s="36" t="s">
        <v>2251</v>
      </c>
      <c r="E349" s="62" t="s">
        <v>2252</v>
      </c>
      <c r="F349" s="38" t="s">
        <v>2253</v>
      </c>
      <c r="G349" s="61">
        <v>9.35317527E8</v>
      </c>
      <c r="H349" s="40">
        <v>2876.0</v>
      </c>
      <c r="I349" s="40">
        <v>768.0</v>
      </c>
      <c r="J349" s="40" t="s">
        <v>65</v>
      </c>
      <c r="K349" s="41" t="s">
        <v>2254</v>
      </c>
      <c r="L349" s="42" t="s">
        <v>67</v>
      </c>
      <c r="M349" s="43" t="s">
        <v>2132</v>
      </c>
      <c r="N349" s="43" t="s">
        <v>2133</v>
      </c>
      <c r="O349" s="42">
        <v>9.14383274E8</v>
      </c>
      <c r="P349" s="45"/>
      <c r="Q349" s="45" t="s">
        <v>67</v>
      </c>
      <c r="R349" s="46">
        <v>1.0</v>
      </c>
      <c r="S349" s="45" t="s">
        <v>67</v>
      </c>
      <c r="T349" s="65">
        <v>46128.0</v>
      </c>
      <c r="U349" s="45"/>
      <c r="V349" s="45"/>
      <c r="W349" s="68">
        <v>46133.0</v>
      </c>
      <c r="X349" s="49" t="s">
        <v>2255</v>
      </c>
      <c r="Y349" s="49" t="s">
        <v>1240</v>
      </c>
      <c r="Z349" s="169" t="s">
        <v>2157</v>
      </c>
      <c r="AA349" s="45" t="s">
        <v>74</v>
      </c>
      <c r="AB349" s="45" t="s">
        <v>67</v>
      </c>
      <c r="AC349" s="45" t="s">
        <v>195</v>
      </c>
      <c r="AD349" s="51" t="s">
        <v>76</v>
      </c>
      <c r="AE349" s="54"/>
      <c r="AF349" s="45" t="s">
        <v>67</v>
      </c>
      <c r="AG349" s="45"/>
      <c r="AH349" s="45">
        <v>40.0</v>
      </c>
      <c r="AI349" s="45"/>
      <c r="AJ349" s="45"/>
      <c r="AK349" s="45"/>
      <c r="AL349" s="45"/>
      <c r="AM349" s="45"/>
      <c r="AN349" s="45">
        <v>0.0</v>
      </c>
      <c r="AO349" s="55"/>
      <c r="AP349" s="54"/>
      <c r="AQ349" s="54"/>
      <c r="AR349" s="54"/>
      <c r="AS349" s="54"/>
      <c r="AT349" s="54"/>
    </row>
    <row r="350">
      <c r="A350" s="35" t="s">
        <v>2256</v>
      </c>
      <c r="B350" s="36" t="s">
        <v>2126</v>
      </c>
      <c r="C350" s="36" t="s">
        <v>2148</v>
      </c>
      <c r="D350" s="36" t="s">
        <v>2257</v>
      </c>
      <c r="E350" s="62" t="s">
        <v>2258</v>
      </c>
      <c r="F350" s="38" t="s">
        <v>2259</v>
      </c>
      <c r="G350" s="61"/>
      <c r="H350" s="40"/>
      <c r="I350" s="40"/>
      <c r="J350" s="40" t="s">
        <v>224</v>
      </c>
      <c r="K350" s="41" t="s">
        <v>2260</v>
      </c>
      <c r="L350" s="42" t="s">
        <v>67</v>
      </c>
      <c r="M350" s="53" t="s">
        <v>2153</v>
      </c>
      <c r="N350" s="43" t="s">
        <v>2154</v>
      </c>
      <c r="O350" s="42" t="s">
        <v>2155</v>
      </c>
      <c r="P350" s="45" t="s">
        <v>67</v>
      </c>
      <c r="Q350" s="45" t="s">
        <v>67</v>
      </c>
      <c r="R350" s="46">
        <v>2.0</v>
      </c>
      <c r="S350" s="45" t="s">
        <v>67</v>
      </c>
      <c r="T350" s="58" t="s">
        <v>2261</v>
      </c>
      <c r="U350" s="45"/>
      <c r="V350" s="45"/>
      <c r="W350" s="68">
        <v>46133.0</v>
      </c>
      <c r="X350" s="49" t="s">
        <v>2262</v>
      </c>
      <c r="Y350" s="49" t="s">
        <v>1240</v>
      </c>
      <c r="Z350" s="169" t="s">
        <v>2157</v>
      </c>
      <c r="AA350" s="45" t="s">
        <v>67</v>
      </c>
      <c r="AB350" s="45" t="s">
        <v>67</v>
      </c>
      <c r="AC350" s="45" t="s">
        <v>195</v>
      </c>
      <c r="AD350" s="51" t="s">
        <v>76</v>
      </c>
      <c r="AE350" s="54"/>
      <c r="AF350" s="45" t="s">
        <v>67</v>
      </c>
      <c r="AG350" s="45"/>
      <c r="AH350" s="45">
        <v>21.0</v>
      </c>
      <c r="AI350" s="45"/>
      <c r="AJ350" s="45"/>
      <c r="AK350" s="45"/>
      <c r="AL350" s="45"/>
      <c r="AM350" s="45"/>
      <c r="AN350" s="45">
        <v>0.0</v>
      </c>
      <c r="AO350" s="55"/>
      <c r="AP350" s="54"/>
      <c r="AQ350" s="54"/>
      <c r="AR350" s="54"/>
      <c r="AS350" s="54"/>
      <c r="AT350" s="54"/>
    </row>
    <row r="351">
      <c r="A351" s="35" t="s">
        <v>2263</v>
      </c>
      <c r="B351" s="36" t="s">
        <v>2126</v>
      </c>
      <c r="C351" s="36" t="s">
        <v>2127</v>
      </c>
      <c r="D351" s="36" t="s">
        <v>2264</v>
      </c>
      <c r="E351" s="62" t="s">
        <v>2265</v>
      </c>
      <c r="F351" s="38" t="s">
        <v>2266</v>
      </c>
      <c r="G351" s="61">
        <v>9.42304158E8</v>
      </c>
      <c r="H351" s="40">
        <v>2878.0</v>
      </c>
      <c r="I351" s="40">
        <v>770.0</v>
      </c>
      <c r="J351" s="40" t="s">
        <v>65</v>
      </c>
      <c r="K351" s="42" t="s">
        <v>2267</v>
      </c>
      <c r="L351" s="42" t="s">
        <v>67</v>
      </c>
      <c r="M351" s="43" t="s">
        <v>2132</v>
      </c>
      <c r="N351" s="43" t="s">
        <v>2133</v>
      </c>
      <c r="O351" s="42">
        <v>9.14383274E8</v>
      </c>
      <c r="P351" s="45" t="s">
        <v>67</v>
      </c>
      <c r="Q351" s="45" t="s">
        <v>67</v>
      </c>
      <c r="R351" s="46">
        <v>3.0</v>
      </c>
      <c r="S351" s="45" t="s">
        <v>67</v>
      </c>
      <c r="T351" s="65">
        <v>46128.0</v>
      </c>
      <c r="U351" s="45"/>
      <c r="V351" s="45"/>
      <c r="W351" s="68">
        <v>46133.0</v>
      </c>
      <c r="X351" s="49" t="s">
        <v>2268</v>
      </c>
      <c r="Y351" s="49" t="s">
        <v>1240</v>
      </c>
      <c r="Z351" s="169" t="s">
        <v>2157</v>
      </c>
      <c r="AA351" s="45" t="s">
        <v>74</v>
      </c>
      <c r="AB351" s="45" t="s">
        <v>67</v>
      </c>
      <c r="AC351" s="45" t="s">
        <v>553</v>
      </c>
      <c r="AD351" s="51" t="s">
        <v>76</v>
      </c>
      <c r="AE351" s="54"/>
      <c r="AF351" s="45" t="s">
        <v>67</v>
      </c>
      <c r="AG351" s="45"/>
      <c r="AH351" s="45">
        <v>55.0</v>
      </c>
      <c r="AI351" s="45"/>
      <c r="AJ351" s="45"/>
      <c r="AK351" s="45"/>
      <c r="AL351" s="45"/>
      <c r="AM351" s="45"/>
      <c r="AN351" s="45">
        <v>0.0</v>
      </c>
      <c r="AO351" s="55"/>
      <c r="AP351" s="54"/>
      <c r="AQ351" s="54"/>
      <c r="AR351" s="54"/>
      <c r="AS351" s="54"/>
      <c r="AT351" s="54"/>
    </row>
    <row r="352">
      <c r="A352" s="35" t="s">
        <v>2263</v>
      </c>
      <c r="B352" s="36" t="s">
        <v>2126</v>
      </c>
      <c r="C352" s="36" t="s">
        <v>2127</v>
      </c>
      <c r="D352" s="36" t="s">
        <v>2264</v>
      </c>
      <c r="E352" s="62" t="s">
        <v>2269</v>
      </c>
      <c r="F352" s="38" t="s">
        <v>2270</v>
      </c>
      <c r="G352" s="61">
        <v>9.72292642E8</v>
      </c>
      <c r="H352" s="40">
        <v>2877.0</v>
      </c>
      <c r="I352" s="40">
        <v>769.0</v>
      </c>
      <c r="J352" s="40" t="s">
        <v>65</v>
      </c>
      <c r="K352" s="41" t="s">
        <v>2271</v>
      </c>
      <c r="L352" s="42" t="s">
        <v>67</v>
      </c>
      <c r="M352" s="43" t="s">
        <v>2132</v>
      </c>
      <c r="N352" s="43" t="s">
        <v>2133</v>
      </c>
      <c r="O352" s="42">
        <v>9.14383274E8</v>
      </c>
      <c r="P352" s="45" t="s">
        <v>67</v>
      </c>
      <c r="Q352" s="45" t="s">
        <v>67</v>
      </c>
      <c r="R352" s="46">
        <v>3.0</v>
      </c>
      <c r="S352" s="45" t="s">
        <v>67</v>
      </c>
      <c r="T352" s="65">
        <v>46128.0</v>
      </c>
      <c r="U352" s="45"/>
      <c r="V352" s="45"/>
      <c r="W352" s="68">
        <v>46132.0</v>
      </c>
      <c r="X352" s="49" t="s">
        <v>2268</v>
      </c>
      <c r="Y352" s="49" t="s">
        <v>1240</v>
      </c>
      <c r="Z352" s="169" t="s">
        <v>2157</v>
      </c>
      <c r="AA352" s="45" t="s">
        <v>74</v>
      </c>
      <c r="AB352" s="45" t="s">
        <v>67</v>
      </c>
      <c r="AC352" s="45" t="s">
        <v>553</v>
      </c>
      <c r="AD352" s="51" t="s">
        <v>76</v>
      </c>
      <c r="AE352" s="54"/>
      <c r="AF352" s="45" t="s">
        <v>67</v>
      </c>
      <c r="AG352" s="45"/>
      <c r="AH352" s="173">
        <v>0.0</v>
      </c>
      <c r="AI352" s="173"/>
      <c r="AJ352" s="173"/>
      <c r="AK352" s="173"/>
      <c r="AL352" s="173"/>
      <c r="AM352" s="173"/>
      <c r="AN352" s="45">
        <v>0.0</v>
      </c>
      <c r="AO352" s="55"/>
      <c r="AP352" s="54"/>
      <c r="AQ352" s="54"/>
      <c r="AR352" s="54"/>
      <c r="AS352" s="54"/>
      <c r="AT352" s="54"/>
    </row>
    <row r="353">
      <c r="A353" s="35" t="s">
        <v>2272</v>
      </c>
      <c r="B353" s="36" t="s">
        <v>2126</v>
      </c>
      <c r="C353" s="36" t="s">
        <v>2188</v>
      </c>
      <c r="D353" s="36" t="s">
        <v>2273</v>
      </c>
      <c r="E353" s="62" t="s">
        <v>2274</v>
      </c>
      <c r="F353" s="38" t="s">
        <v>2275</v>
      </c>
      <c r="G353" s="61">
        <v>9.4516657E8</v>
      </c>
      <c r="H353" s="40">
        <v>2955.0</v>
      </c>
      <c r="I353" s="40">
        <v>999.0</v>
      </c>
      <c r="J353" s="40" t="s">
        <v>65</v>
      </c>
      <c r="K353" s="41" t="s">
        <v>2276</v>
      </c>
      <c r="L353" s="42" t="s">
        <v>67</v>
      </c>
      <c r="M353" s="41" t="s">
        <v>1497</v>
      </c>
      <c r="N353" s="43" t="s">
        <v>1498</v>
      </c>
      <c r="O353" s="44">
        <v>0.0</v>
      </c>
      <c r="P353" s="45"/>
      <c r="Q353" s="45" t="s">
        <v>67</v>
      </c>
      <c r="R353" s="46">
        <v>1.0</v>
      </c>
      <c r="S353" s="45" t="s">
        <v>67</v>
      </c>
      <c r="T353" s="177">
        <v>46129.0</v>
      </c>
      <c r="U353" s="45"/>
      <c r="V353" s="45"/>
      <c r="W353" s="63" t="s">
        <v>2277</v>
      </c>
      <c r="X353" s="49" t="s">
        <v>2278</v>
      </c>
      <c r="Y353" s="49" t="s">
        <v>378</v>
      </c>
      <c r="Z353" s="169" t="s">
        <v>2157</v>
      </c>
      <c r="AA353" s="45" t="s">
        <v>74</v>
      </c>
      <c r="AB353" s="45" t="s">
        <v>67</v>
      </c>
      <c r="AC353" s="45" t="s">
        <v>195</v>
      </c>
      <c r="AD353" s="51" t="s">
        <v>76</v>
      </c>
      <c r="AE353" s="54"/>
      <c r="AF353" s="45" t="s">
        <v>67</v>
      </c>
      <c r="AG353" s="45"/>
      <c r="AH353" s="45">
        <v>22.0</v>
      </c>
      <c r="AI353" s="45"/>
      <c r="AJ353" s="45"/>
      <c r="AK353" s="45"/>
      <c r="AL353" s="45"/>
      <c r="AM353" s="45"/>
      <c r="AN353" s="45">
        <v>0.0</v>
      </c>
      <c r="AO353" s="55"/>
      <c r="AP353" s="67" t="s">
        <v>2279</v>
      </c>
      <c r="AQ353" s="54"/>
      <c r="AR353" s="54"/>
      <c r="AS353" s="54"/>
      <c r="AT353" s="54"/>
    </row>
    <row r="354">
      <c r="A354" s="35" t="s">
        <v>2280</v>
      </c>
      <c r="B354" s="36" t="s">
        <v>2126</v>
      </c>
      <c r="C354" s="36" t="s">
        <v>2188</v>
      </c>
      <c r="D354" s="36" t="s">
        <v>1735</v>
      </c>
      <c r="E354" s="62" t="s">
        <v>2281</v>
      </c>
      <c r="F354" s="38" t="s">
        <v>2282</v>
      </c>
      <c r="G354" s="61">
        <v>9.49943149E8</v>
      </c>
      <c r="H354" s="40">
        <v>2956.0</v>
      </c>
      <c r="I354" s="40">
        <v>1000.0</v>
      </c>
      <c r="J354" s="40" t="s">
        <v>65</v>
      </c>
      <c r="K354" s="42" t="s">
        <v>2283</v>
      </c>
      <c r="L354" s="42" t="s">
        <v>67</v>
      </c>
      <c r="M354" s="53" t="s">
        <v>1497</v>
      </c>
      <c r="N354" s="43" t="s">
        <v>1498</v>
      </c>
      <c r="O354" s="44">
        <v>0.0</v>
      </c>
      <c r="P354" s="45" t="s">
        <v>67</v>
      </c>
      <c r="Q354" s="45" t="s">
        <v>67</v>
      </c>
      <c r="R354" s="46">
        <v>1.0</v>
      </c>
      <c r="S354" s="45" t="s">
        <v>67</v>
      </c>
      <c r="T354" s="58" t="s">
        <v>2284</v>
      </c>
      <c r="U354" s="45"/>
      <c r="V354" s="45"/>
      <c r="W354" s="63" t="s">
        <v>2285</v>
      </c>
      <c r="X354" s="49" t="s">
        <v>2286</v>
      </c>
      <c r="Y354" s="49" t="s">
        <v>1240</v>
      </c>
      <c r="Z354" s="169" t="s">
        <v>2157</v>
      </c>
      <c r="AA354" s="45" t="s">
        <v>74</v>
      </c>
      <c r="AB354" s="45" t="s">
        <v>67</v>
      </c>
      <c r="AC354" s="45" t="s">
        <v>135</v>
      </c>
      <c r="AD354" s="51" t="s">
        <v>76</v>
      </c>
      <c r="AE354" s="54"/>
      <c r="AF354" s="45" t="s">
        <v>67</v>
      </c>
      <c r="AG354" s="45"/>
      <c r="AH354" s="45">
        <v>21.0</v>
      </c>
      <c r="AI354" s="45"/>
      <c r="AJ354" s="45"/>
      <c r="AK354" s="45"/>
      <c r="AL354" s="45"/>
      <c r="AM354" s="45"/>
      <c r="AN354" s="45">
        <v>0.0</v>
      </c>
      <c r="AO354" s="55"/>
      <c r="AP354" s="54"/>
      <c r="AQ354" s="54"/>
      <c r="AR354" s="54"/>
      <c r="AS354" s="54"/>
      <c r="AT354" s="54"/>
    </row>
    <row r="355">
      <c r="A355" s="35" t="s">
        <v>2280</v>
      </c>
      <c r="B355" s="36" t="s">
        <v>2126</v>
      </c>
      <c r="C355" s="36" t="s">
        <v>2188</v>
      </c>
      <c r="D355" s="36" t="s">
        <v>1735</v>
      </c>
      <c r="E355" s="62" t="s">
        <v>2287</v>
      </c>
      <c r="F355" s="38" t="s">
        <v>2288</v>
      </c>
      <c r="G355" s="161"/>
      <c r="H355" s="162"/>
      <c r="I355" s="162"/>
      <c r="J355" s="40" t="s">
        <v>224</v>
      </c>
      <c r="K355" s="41" t="s">
        <v>2289</v>
      </c>
      <c r="L355" s="42" t="s">
        <v>67</v>
      </c>
      <c r="M355" s="53" t="s">
        <v>1497</v>
      </c>
      <c r="N355" s="43" t="s">
        <v>1498</v>
      </c>
      <c r="O355" s="44">
        <v>0.0</v>
      </c>
      <c r="P355" s="45" t="s">
        <v>67</v>
      </c>
      <c r="Q355" s="45" t="s">
        <v>67</v>
      </c>
      <c r="R355" s="46">
        <v>1.0</v>
      </c>
      <c r="S355" s="45" t="s">
        <v>67</v>
      </c>
      <c r="T355" s="58" t="s">
        <v>2284</v>
      </c>
      <c r="U355" s="45"/>
      <c r="V355" s="45"/>
      <c r="W355" s="63" t="s">
        <v>2285</v>
      </c>
      <c r="X355" s="49" t="s">
        <v>2286</v>
      </c>
      <c r="Y355" s="49" t="s">
        <v>1240</v>
      </c>
      <c r="Z355" s="169" t="s">
        <v>2157</v>
      </c>
      <c r="AA355" s="45" t="s">
        <v>74</v>
      </c>
      <c r="AB355" s="45" t="s">
        <v>67</v>
      </c>
      <c r="AC355" s="45" t="s">
        <v>135</v>
      </c>
      <c r="AD355" s="51" t="s">
        <v>76</v>
      </c>
      <c r="AE355" s="54"/>
      <c r="AF355" s="45" t="s">
        <v>67</v>
      </c>
      <c r="AG355" s="45"/>
      <c r="AH355" s="173">
        <v>0.0</v>
      </c>
      <c r="AI355" s="173"/>
      <c r="AJ355" s="173"/>
      <c r="AK355" s="173"/>
      <c r="AL355" s="173"/>
      <c r="AM355" s="173"/>
      <c r="AN355" s="45">
        <v>0.0</v>
      </c>
      <c r="AO355" s="55"/>
      <c r="AP355" s="54"/>
      <c r="AQ355" s="54"/>
      <c r="AR355" s="54"/>
      <c r="AS355" s="54"/>
      <c r="AT355" s="54"/>
    </row>
    <row r="356">
      <c r="A356" s="35" t="s">
        <v>2290</v>
      </c>
      <c r="B356" s="36" t="s">
        <v>2126</v>
      </c>
      <c r="C356" s="36" t="s">
        <v>2126</v>
      </c>
      <c r="D356" s="36" t="s">
        <v>2291</v>
      </c>
      <c r="E356" s="62" t="s">
        <v>2292</v>
      </c>
      <c r="F356" s="38" t="s">
        <v>2293</v>
      </c>
      <c r="G356" s="61">
        <v>9.44769724E8</v>
      </c>
      <c r="H356" s="40">
        <v>2879.0</v>
      </c>
      <c r="I356" s="40">
        <v>771.0</v>
      </c>
      <c r="J356" s="40" t="s">
        <v>65</v>
      </c>
      <c r="K356" s="42" t="s">
        <v>2294</v>
      </c>
      <c r="L356" s="42" t="s">
        <v>67</v>
      </c>
      <c r="M356" s="43" t="s">
        <v>2132</v>
      </c>
      <c r="N356" s="43" t="s">
        <v>2133</v>
      </c>
      <c r="O356" s="42">
        <v>9.14383274E8</v>
      </c>
      <c r="P356" s="45" t="s">
        <v>67</v>
      </c>
      <c r="Q356" s="45" t="s">
        <v>67</v>
      </c>
      <c r="R356" s="46">
        <v>3.0</v>
      </c>
      <c r="S356" s="45" t="s">
        <v>67</v>
      </c>
      <c r="T356" s="65">
        <v>46129.0</v>
      </c>
      <c r="U356" s="45"/>
      <c r="V356" s="45"/>
      <c r="W356" s="68">
        <v>46132.0</v>
      </c>
      <c r="X356" s="49" t="s">
        <v>2295</v>
      </c>
      <c r="Y356" s="49" t="s">
        <v>1240</v>
      </c>
      <c r="Z356" s="169" t="s">
        <v>2157</v>
      </c>
      <c r="AA356" s="45" t="s">
        <v>74</v>
      </c>
      <c r="AB356" s="45" t="s">
        <v>67</v>
      </c>
      <c r="AC356" s="45" t="s">
        <v>287</v>
      </c>
      <c r="AD356" s="51" t="s">
        <v>76</v>
      </c>
      <c r="AE356" s="54"/>
      <c r="AF356" s="45" t="s">
        <v>67</v>
      </c>
      <c r="AG356" s="45"/>
      <c r="AH356" s="45">
        <v>38.0</v>
      </c>
      <c r="AI356" s="45"/>
      <c r="AJ356" s="45"/>
      <c r="AK356" s="45"/>
      <c r="AL356" s="45"/>
      <c r="AM356" s="45"/>
      <c r="AN356" s="45">
        <v>0.0</v>
      </c>
      <c r="AO356" s="55"/>
      <c r="AP356" s="54"/>
      <c r="AQ356" s="54"/>
      <c r="AR356" s="54"/>
      <c r="AS356" s="54"/>
      <c r="AT356" s="54"/>
    </row>
    <row r="357">
      <c r="A357" s="35" t="s">
        <v>2296</v>
      </c>
      <c r="B357" s="36" t="s">
        <v>2126</v>
      </c>
      <c r="C357" s="36" t="s">
        <v>2148</v>
      </c>
      <c r="D357" s="36" t="s">
        <v>2297</v>
      </c>
      <c r="E357" s="62" t="s">
        <v>2298</v>
      </c>
      <c r="F357" s="38" t="s">
        <v>2299</v>
      </c>
      <c r="G357" s="61"/>
      <c r="H357" s="40"/>
      <c r="I357" s="40"/>
      <c r="J357" s="40" t="s">
        <v>224</v>
      </c>
      <c r="K357" s="41" t="s">
        <v>2300</v>
      </c>
      <c r="L357" s="42" t="s">
        <v>67</v>
      </c>
      <c r="M357" s="53" t="s">
        <v>2153</v>
      </c>
      <c r="N357" s="43" t="s">
        <v>2154</v>
      </c>
      <c r="O357" s="42" t="s">
        <v>2155</v>
      </c>
      <c r="P357" s="45" t="s">
        <v>67</v>
      </c>
      <c r="Q357" s="45" t="s">
        <v>67</v>
      </c>
      <c r="R357" s="46">
        <v>3.0</v>
      </c>
      <c r="S357" s="45" t="s">
        <v>67</v>
      </c>
      <c r="T357" s="65">
        <v>46132.0</v>
      </c>
      <c r="U357" s="45"/>
      <c r="V357" s="45"/>
      <c r="W357" s="68">
        <v>46133.0</v>
      </c>
      <c r="X357" s="49" t="s">
        <v>2301</v>
      </c>
      <c r="Y357" s="49" t="s">
        <v>378</v>
      </c>
      <c r="Z357" s="169" t="s">
        <v>2157</v>
      </c>
      <c r="AA357" s="45" t="s">
        <v>74</v>
      </c>
      <c r="AB357" s="45" t="s">
        <v>67</v>
      </c>
      <c r="AC357" s="45" t="s">
        <v>287</v>
      </c>
      <c r="AD357" s="51" t="s">
        <v>76</v>
      </c>
      <c r="AE357" s="54"/>
      <c r="AF357" s="45" t="s">
        <v>226</v>
      </c>
      <c r="AG357" s="45"/>
      <c r="AH357" s="45">
        <v>24.0</v>
      </c>
      <c r="AI357" s="45"/>
      <c r="AJ357" s="45"/>
      <c r="AK357" s="45"/>
      <c r="AL357" s="45"/>
      <c r="AM357" s="45"/>
      <c r="AN357" s="45">
        <v>0.0</v>
      </c>
      <c r="AO357" s="55"/>
      <c r="AP357" s="54"/>
      <c r="AQ357" s="54"/>
      <c r="AR357" s="54"/>
      <c r="AS357" s="54"/>
      <c r="AT357" s="54"/>
    </row>
    <row r="358">
      <c r="A358" s="35" t="s">
        <v>2302</v>
      </c>
      <c r="B358" s="36" t="s">
        <v>2126</v>
      </c>
      <c r="C358" s="36" t="s">
        <v>2303</v>
      </c>
      <c r="D358" s="36" t="s">
        <v>2304</v>
      </c>
      <c r="E358" s="62" t="s">
        <v>2305</v>
      </c>
      <c r="F358" s="38" t="s">
        <v>2306</v>
      </c>
      <c r="G358" s="61">
        <v>9.24481277E8</v>
      </c>
      <c r="H358" s="40"/>
      <c r="I358" s="40"/>
      <c r="J358" s="40" t="s">
        <v>224</v>
      </c>
      <c r="K358" s="41" t="s">
        <v>2307</v>
      </c>
      <c r="L358" s="42" t="s">
        <v>67</v>
      </c>
      <c r="M358" s="43" t="s">
        <v>2132</v>
      </c>
      <c r="N358" s="43" t="s">
        <v>2133</v>
      </c>
      <c r="O358" s="42">
        <v>9.14383274E8</v>
      </c>
      <c r="P358" s="45" t="s">
        <v>67</v>
      </c>
      <c r="Q358" s="45" t="s">
        <v>67</v>
      </c>
      <c r="R358" s="46">
        <v>1.0</v>
      </c>
      <c r="S358" s="45" t="s">
        <v>67</v>
      </c>
      <c r="T358" s="65">
        <v>46132.0</v>
      </c>
      <c r="U358" s="45"/>
      <c r="V358" s="45"/>
      <c r="W358" s="68">
        <v>46133.0</v>
      </c>
      <c r="X358" s="49" t="s">
        <v>2308</v>
      </c>
      <c r="Y358" s="49" t="s">
        <v>1240</v>
      </c>
      <c r="Z358" s="169" t="s">
        <v>2157</v>
      </c>
      <c r="AA358" s="45" t="s">
        <v>74</v>
      </c>
      <c r="AB358" s="45" t="s">
        <v>67</v>
      </c>
      <c r="AC358" s="45" t="s">
        <v>96</v>
      </c>
      <c r="AD358" s="51" t="s">
        <v>76</v>
      </c>
      <c r="AE358" s="54"/>
      <c r="AF358" s="45" t="s">
        <v>67</v>
      </c>
      <c r="AG358" s="45"/>
      <c r="AH358" s="45">
        <v>18.0</v>
      </c>
      <c r="AI358" s="45"/>
      <c r="AJ358" s="45"/>
      <c r="AK358" s="45"/>
      <c r="AL358" s="45"/>
      <c r="AM358" s="45"/>
      <c r="AN358" s="45">
        <v>0.0</v>
      </c>
      <c r="AO358" s="55"/>
      <c r="AP358" s="54"/>
      <c r="AQ358" s="54"/>
      <c r="AR358" s="54"/>
      <c r="AS358" s="54"/>
      <c r="AT358" s="54"/>
    </row>
    <row r="359">
      <c r="A359" s="35" t="s">
        <v>2309</v>
      </c>
      <c r="B359" s="36" t="s">
        <v>2126</v>
      </c>
      <c r="C359" s="36" t="s">
        <v>2310</v>
      </c>
      <c r="D359" s="36" t="s">
        <v>2310</v>
      </c>
      <c r="E359" s="62" t="s">
        <v>2311</v>
      </c>
      <c r="F359" s="38" t="s">
        <v>2312</v>
      </c>
      <c r="G359" s="61">
        <v>9.65040645E8</v>
      </c>
      <c r="H359" s="40"/>
      <c r="I359" s="40"/>
      <c r="J359" s="40" t="s">
        <v>65</v>
      </c>
      <c r="K359" s="42" t="s">
        <v>2313</v>
      </c>
      <c r="L359" s="42" t="s">
        <v>67</v>
      </c>
      <c r="M359" s="43" t="s">
        <v>2132</v>
      </c>
      <c r="N359" s="43" t="s">
        <v>2133</v>
      </c>
      <c r="O359" s="42">
        <v>9.14383274E8</v>
      </c>
      <c r="P359" s="45" t="s">
        <v>67</v>
      </c>
      <c r="Q359" s="45" t="s">
        <v>67</v>
      </c>
      <c r="R359" s="46">
        <v>1.0</v>
      </c>
      <c r="S359" s="45" t="s">
        <v>67</v>
      </c>
      <c r="T359" s="65">
        <v>46128.0</v>
      </c>
      <c r="U359" s="45"/>
      <c r="V359" s="45"/>
      <c r="W359" s="63" t="s">
        <v>2314</v>
      </c>
      <c r="X359" s="49" t="s">
        <v>2315</v>
      </c>
      <c r="Y359" s="49" t="s">
        <v>378</v>
      </c>
      <c r="Z359" s="169" t="s">
        <v>2157</v>
      </c>
      <c r="AA359" s="45" t="s">
        <v>74</v>
      </c>
      <c r="AB359" s="45" t="s">
        <v>67</v>
      </c>
      <c r="AC359" s="45" t="s">
        <v>96</v>
      </c>
      <c r="AD359" s="51" t="s">
        <v>76</v>
      </c>
      <c r="AE359" s="54"/>
      <c r="AF359" s="45" t="s">
        <v>67</v>
      </c>
      <c r="AG359" s="45"/>
      <c r="AH359" s="45">
        <v>25.0</v>
      </c>
      <c r="AI359" s="45"/>
      <c r="AJ359" s="45"/>
      <c r="AK359" s="45"/>
      <c r="AL359" s="45"/>
      <c r="AM359" s="45"/>
      <c r="AN359" s="45">
        <v>0.0</v>
      </c>
      <c r="AO359" s="55"/>
      <c r="AP359" s="54"/>
      <c r="AQ359" s="54"/>
      <c r="AR359" s="54"/>
      <c r="AS359" s="54"/>
      <c r="AT359" s="54"/>
    </row>
    <row r="360">
      <c r="A360" s="35" t="s">
        <v>2309</v>
      </c>
      <c r="B360" s="36" t="s">
        <v>2126</v>
      </c>
      <c r="C360" s="36" t="s">
        <v>2310</v>
      </c>
      <c r="D360" s="36" t="s">
        <v>2310</v>
      </c>
      <c r="E360" s="62" t="s">
        <v>2316</v>
      </c>
      <c r="F360" s="38" t="s">
        <v>2317</v>
      </c>
      <c r="G360" s="61">
        <v>9.65887904E8</v>
      </c>
      <c r="H360" s="40">
        <v>2893.0</v>
      </c>
      <c r="I360" s="40">
        <v>786.0</v>
      </c>
      <c r="J360" s="40" t="s">
        <v>65</v>
      </c>
      <c r="K360" s="41" t="s">
        <v>2318</v>
      </c>
      <c r="L360" s="42" t="s">
        <v>67</v>
      </c>
      <c r="M360" s="43" t="s">
        <v>2132</v>
      </c>
      <c r="N360" s="43" t="s">
        <v>2133</v>
      </c>
      <c r="O360" s="42">
        <v>9.14383274E8</v>
      </c>
      <c r="P360" s="45" t="s">
        <v>67</v>
      </c>
      <c r="Q360" s="45" t="s">
        <v>67</v>
      </c>
      <c r="R360" s="46">
        <v>1.0</v>
      </c>
      <c r="S360" s="45" t="s">
        <v>67</v>
      </c>
      <c r="T360" s="65">
        <v>46128.0</v>
      </c>
      <c r="U360" s="45"/>
      <c r="V360" s="45"/>
      <c r="W360" s="63" t="s">
        <v>2319</v>
      </c>
      <c r="X360" s="49" t="s">
        <v>2315</v>
      </c>
      <c r="Y360" s="49" t="s">
        <v>378</v>
      </c>
      <c r="Z360" s="169" t="s">
        <v>2157</v>
      </c>
      <c r="AA360" s="45" t="s">
        <v>74</v>
      </c>
      <c r="AB360" s="45" t="s">
        <v>67</v>
      </c>
      <c r="AC360" s="45" t="s">
        <v>96</v>
      </c>
      <c r="AD360" s="51" t="s">
        <v>76</v>
      </c>
      <c r="AE360" s="54"/>
      <c r="AF360" s="45" t="s">
        <v>67</v>
      </c>
      <c r="AG360" s="45"/>
      <c r="AH360" s="173">
        <v>0.0</v>
      </c>
      <c r="AI360" s="173"/>
      <c r="AJ360" s="173"/>
      <c r="AK360" s="173"/>
      <c r="AL360" s="173"/>
      <c r="AM360" s="173"/>
      <c r="AN360" s="45">
        <v>0.0</v>
      </c>
      <c r="AO360" s="55"/>
      <c r="AP360" s="54"/>
      <c r="AQ360" s="54"/>
      <c r="AR360" s="54"/>
      <c r="AS360" s="54"/>
      <c r="AT360" s="54"/>
    </row>
    <row r="361">
      <c r="A361" s="35" t="s">
        <v>2320</v>
      </c>
      <c r="B361" s="36" t="s">
        <v>2126</v>
      </c>
      <c r="C361" s="36" t="s">
        <v>2303</v>
      </c>
      <c r="D361" s="36" t="s">
        <v>2321</v>
      </c>
      <c r="E361" s="62" t="s">
        <v>2322</v>
      </c>
      <c r="F361" s="38" t="s">
        <v>2323</v>
      </c>
      <c r="G361" s="61">
        <v>9.16434521E8</v>
      </c>
      <c r="H361" s="40">
        <v>2882.0</v>
      </c>
      <c r="I361" s="40">
        <v>774.0</v>
      </c>
      <c r="J361" s="40" t="s">
        <v>65</v>
      </c>
      <c r="K361" s="41" t="s">
        <v>2324</v>
      </c>
      <c r="L361" s="42" t="s">
        <v>67</v>
      </c>
      <c r="M361" s="43" t="s">
        <v>2132</v>
      </c>
      <c r="N361" s="43" t="s">
        <v>2133</v>
      </c>
      <c r="O361" s="42">
        <v>9.14383274E8</v>
      </c>
      <c r="P361" s="45" t="s">
        <v>67</v>
      </c>
      <c r="Q361" s="45" t="s">
        <v>67</v>
      </c>
      <c r="R361" s="46">
        <v>1.0</v>
      </c>
      <c r="S361" s="45" t="s">
        <v>67</v>
      </c>
      <c r="T361" s="65">
        <v>46128.0</v>
      </c>
      <c r="U361" s="45"/>
      <c r="V361" s="45"/>
      <c r="W361" s="68">
        <v>46132.0</v>
      </c>
      <c r="X361" s="49" t="s">
        <v>2325</v>
      </c>
      <c r="Y361" s="49" t="s">
        <v>1240</v>
      </c>
      <c r="Z361" s="169" t="s">
        <v>2157</v>
      </c>
      <c r="AA361" s="45" t="s">
        <v>74</v>
      </c>
      <c r="AB361" s="45" t="s">
        <v>67</v>
      </c>
      <c r="AC361" s="45" t="s">
        <v>2326</v>
      </c>
      <c r="AD361" s="51" t="s">
        <v>76</v>
      </c>
      <c r="AE361" s="54"/>
      <c r="AF361" s="45" t="s">
        <v>67</v>
      </c>
      <c r="AG361" s="45"/>
      <c r="AH361" s="45">
        <v>47.0</v>
      </c>
      <c r="AI361" s="45"/>
      <c r="AJ361" s="45"/>
      <c r="AK361" s="45"/>
      <c r="AL361" s="45"/>
      <c r="AM361" s="45"/>
      <c r="AN361" s="45">
        <v>0.0</v>
      </c>
      <c r="AO361" s="55"/>
      <c r="AP361" s="54"/>
      <c r="AQ361" s="54"/>
      <c r="AR361" s="54"/>
      <c r="AS361" s="54"/>
      <c r="AT361" s="54"/>
    </row>
    <row r="362">
      <c r="A362" s="35" t="s">
        <v>2327</v>
      </c>
      <c r="B362" s="36" t="s">
        <v>2126</v>
      </c>
      <c r="C362" s="36" t="s">
        <v>2136</v>
      </c>
      <c r="D362" s="36" t="s">
        <v>2136</v>
      </c>
      <c r="E362" s="62" t="s">
        <v>2328</v>
      </c>
      <c r="F362" s="38" t="s">
        <v>2329</v>
      </c>
      <c r="G362" s="61">
        <v>9.65793657E8</v>
      </c>
      <c r="H362" s="40">
        <v>2885.0</v>
      </c>
      <c r="I362" s="40">
        <v>778.0</v>
      </c>
      <c r="J362" s="40" t="s">
        <v>65</v>
      </c>
      <c r="K362" s="42" t="s">
        <v>2330</v>
      </c>
      <c r="L362" s="42" t="s">
        <v>67</v>
      </c>
      <c r="M362" s="53" t="s">
        <v>2141</v>
      </c>
      <c r="N362" s="43" t="s">
        <v>2142</v>
      </c>
      <c r="O362" s="44">
        <v>9.50035824E8</v>
      </c>
      <c r="P362" s="45" t="s">
        <v>67</v>
      </c>
      <c r="Q362" s="45" t="s">
        <v>67</v>
      </c>
      <c r="R362" s="46">
        <v>2.0</v>
      </c>
      <c r="S362" s="45" t="s">
        <v>67</v>
      </c>
      <c r="T362" s="58" t="s">
        <v>2331</v>
      </c>
      <c r="U362" s="45"/>
      <c r="V362" s="45"/>
      <c r="W362" s="68">
        <v>46134.0</v>
      </c>
      <c r="X362" s="49" t="s">
        <v>2332</v>
      </c>
      <c r="Y362" s="49" t="s">
        <v>378</v>
      </c>
      <c r="Z362" s="169" t="s">
        <v>2157</v>
      </c>
      <c r="AA362" s="45" t="s">
        <v>74</v>
      </c>
      <c r="AB362" s="45" t="s">
        <v>67</v>
      </c>
      <c r="AC362" s="45" t="s">
        <v>96</v>
      </c>
      <c r="AD362" s="51" t="s">
        <v>1081</v>
      </c>
      <c r="AE362" s="54"/>
      <c r="AF362" s="45" t="s">
        <v>67</v>
      </c>
      <c r="AG362" s="45"/>
      <c r="AH362" s="45">
        <v>0.0</v>
      </c>
      <c r="AI362" s="45"/>
      <c r="AJ362" s="45"/>
      <c r="AK362" s="45"/>
      <c r="AL362" s="45"/>
      <c r="AM362" s="45"/>
      <c r="AN362" s="45">
        <v>0.0</v>
      </c>
      <c r="AO362" s="55"/>
      <c r="AP362" s="54"/>
      <c r="AQ362" s="54"/>
      <c r="AR362" s="54"/>
      <c r="AS362" s="54"/>
      <c r="AT362" s="54"/>
    </row>
    <row r="363">
      <c r="A363" s="35" t="s">
        <v>2333</v>
      </c>
      <c r="B363" s="36" t="s">
        <v>2126</v>
      </c>
      <c r="C363" s="36" t="s">
        <v>2310</v>
      </c>
      <c r="D363" s="36" t="s">
        <v>2334</v>
      </c>
      <c r="E363" s="62" t="s">
        <v>2335</v>
      </c>
      <c r="F363" s="38" t="s">
        <v>2336</v>
      </c>
      <c r="G363" s="61">
        <v>9.44864935E8</v>
      </c>
      <c r="H363" s="40">
        <v>2964.0</v>
      </c>
      <c r="I363" s="40">
        <v>1206.0</v>
      </c>
      <c r="J363" s="40" t="s">
        <v>65</v>
      </c>
      <c r="K363" s="41" t="s">
        <v>2337</v>
      </c>
      <c r="L363" s="42" t="s">
        <v>67</v>
      </c>
      <c r="M363" s="58" t="s">
        <v>2338</v>
      </c>
      <c r="N363" s="43" t="s">
        <v>2133</v>
      </c>
      <c r="O363" s="42">
        <v>9.14383274E8</v>
      </c>
      <c r="P363" s="45" t="s">
        <v>67</v>
      </c>
      <c r="Q363" s="45" t="s">
        <v>67</v>
      </c>
      <c r="R363" s="46">
        <v>4.0</v>
      </c>
      <c r="S363" s="45" t="s">
        <v>67</v>
      </c>
      <c r="T363" s="65">
        <v>46129.0</v>
      </c>
      <c r="U363" s="45"/>
      <c r="V363" s="45"/>
      <c r="W363" s="68">
        <v>46133.0</v>
      </c>
      <c r="X363" s="49" t="s">
        <v>2339</v>
      </c>
      <c r="Y363" s="49" t="s">
        <v>378</v>
      </c>
      <c r="Z363" s="169" t="s">
        <v>2157</v>
      </c>
      <c r="AA363" s="45" t="s">
        <v>74</v>
      </c>
      <c r="AB363" s="45" t="s">
        <v>67</v>
      </c>
      <c r="AC363" s="45" t="s">
        <v>135</v>
      </c>
      <c r="AD363" s="51" t="s">
        <v>76</v>
      </c>
      <c r="AE363" s="54"/>
      <c r="AF363" s="45" t="s">
        <v>67</v>
      </c>
      <c r="AG363" s="45"/>
      <c r="AH363" s="45">
        <v>18.0</v>
      </c>
      <c r="AI363" s="45"/>
      <c r="AJ363" s="45"/>
      <c r="AK363" s="45"/>
      <c r="AL363" s="45"/>
      <c r="AM363" s="45"/>
      <c r="AN363" s="45">
        <v>0.0</v>
      </c>
      <c r="AO363" s="55"/>
      <c r="AP363" s="54"/>
      <c r="AQ363" s="54"/>
      <c r="AR363" s="54"/>
      <c r="AS363" s="54"/>
      <c r="AT363" s="54"/>
    </row>
    <row r="364">
      <c r="A364" s="35" t="s">
        <v>2333</v>
      </c>
      <c r="B364" s="36" t="s">
        <v>2126</v>
      </c>
      <c r="C364" s="36" t="s">
        <v>2310</v>
      </c>
      <c r="D364" s="36" t="s">
        <v>2334</v>
      </c>
      <c r="E364" s="62" t="s">
        <v>2340</v>
      </c>
      <c r="F364" s="38" t="s">
        <v>2341</v>
      </c>
      <c r="G364" s="61">
        <v>9.93573343E8</v>
      </c>
      <c r="H364" s="40">
        <v>2965.0</v>
      </c>
      <c r="I364" s="40">
        <v>1207.0</v>
      </c>
      <c r="J364" s="40" t="s">
        <v>65</v>
      </c>
      <c r="K364" s="42" t="s">
        <v>2342</v>
      </c>
      <c r="L364" s="42" t="s">
        <v>67</v>
      </c>
      <c r="M364" s="58" t="s">
        <v>2338</v>
      </c>
      <c r="N364" s="43" t="s">
        <v>2133</v>
      </c>
      <c r="O364" s="42">
        <v>9.14383274E8</v>
      </c>
      <c r="P364" s="45" t="s">
        <v>67</v>
      </c>
      <c r="Q364" s="45" t="s">
        <v>67</v>
      </c>
      <c r="R364" s="46">
        <v>4.0</v>
      </c>
      <c r="S364" s="45" t="s">
        <v>67</v>
      </c>
      <c r="T364" s="65">
        <v>46129.0</v>
      </c>
      <c r="U364" s="45"/>
      <c r="V364" s="45"/>
      <c r="W364" s="68">
        <v>46133.0</v>
      </c>
      <c r="X364" s="49" t="s">
        <v>2339</v>
      </c>
      <c r="Y364" s="49" t="s">
        <v>378</v>
      </c>
      <c r="Z364" s="169" t="s">
        <v>2157</v>
      </c>
      <c r="AA364" s="45" t="s">
        <v>74</v>
      </c>
      <c r="AB364" s="45" t="s">
        <v>67</v>
      </c>
      <c r="AC364" s="45" t="s">
        <v>135</v>
      </c>
      <c r="AD364" s="51" t="s">
        <v>76</v>
      </c>
      <c r="AE364" s="54"/>
      <c r="AF364" s="45" t="s">
        <v>67</v>
      </c>
      <c r="AG364" s="45"/>
      <c r="AH364" s="173">
        <v>0.0</v>
      </c>
      <c r="AI364" s="173"/>
      <c r="AJ364" s="173"/>
      <c r="AK364" s="173"/>
      <c r="AL364" s="173"/>
      <c r="AM364" s="173"/>
      <c r="AN364" s="45">
        <v>0.0</v>
      </c>
      <c r="AO364" s="55"/>
      <c r="AP364" s="54"/>
      <c r="AQ364" s="54"/>
      <c r="AR364" s="54"/>
      <c r="AS364" s="54"/>
      <c r="AT364" s="54"/>
    </row>
    <row r="365">
      <c r="A365" s="35" t="s">
        <v>2343</v>
      </c>
      <c r="B365" s="36" t="s">
        <v>2126</v>
      </c>
      <c r="C365" s="36" t="s">
        <v>2303</v>
      </c>
      <c r="D365" s="36" t="s">
        <v>1118</v>
      </c>
      <c r="E365" s="62" t="s">
        <v>2344</v>
      </c>
      <c r="F365" s="38" t="s">
        <v>2345</v>
      </c>
      <c r="G365" s="61" t="s">
        <v>2346</v>
      </c>
      <c r="H365" s="40"/>
      <c r="I365" s="40"/>
      <c r="J365" s="40" t="s">
        <v>65</v>
      </c>
      <c r="K365" s="41" t="s">
        <v>2347</v>
      </c>
      <c r="L365" s="42" t="s">
        <v>67</v>
      </c>
      <c r="M365" s="43" t="s">
        <v>2132</v>
      </c>
      <c r="N365" s="43" t="s">
        <v>2133</v>
      </c>
      <c r="O365" s="42">
        <v>9.14383274E8</v>
      </c>
      <c r="P365" s="45"/>
      <c r="Q365" s="45" t="s">
        <v>67</v>
      </c>
      <c r="R365" s="133">
        <v>1.0</v>
      </c>
      <c r="S365" s="45" t="s">
        <v>67</v>
      </c>
      <c r="T365" s="65">
        <v>46128.0</v>
      </c>
      <c r="U365" s="45"/>
      <c r="V365" s="45"/>
      <c r="W365" s="178">
        <v>46131.0</v>
      </c>
      <c r="X365" s="152" t="s">
        <v>2348</v>
      </c>
      <c r="Y365" s="49" t="s">
        <v>1240</v>
      </c>
      <c r="Z365" s="169" t="s">
        <v>2157</v>
      </c>
      <c r="AA365" s="45" t="s">
        <v>67</v>
      </c>
      <c r="AB365" s="45" t="s">
        <v>67</v>
      </c>
      <c r="AC365" s="45" t="s">
        <v>458</v>
      </c>
      <c r="AD365" s="51" t="s">
        <v>76</v>
      </c>
      <c r="AE365" s="54"/>
      <c r="AF365" s="45" t="s">
        <v>67</v>
      </c>
      <c r="AG365" s="45"/>
      <c r="AH365" s="45">
        <v>33.0</v>
      </c>
      <c r="AI365" s="45"/>
      <c r="AJ365" s="45"/>
      <c r="AK365" s="45"/>
      <c r="AL365" s="45"/>
      <c r="AM365" s="45"/>
      <c r="AN365" s="45">
        <v>3.0</v>
      </c>
      <c r="AO365" s="55"/>
      <c r="AP365" s="54"/>
      <c r="AQ365" s="54"/>
      <c r="AR365" s="54"/>
      <c r="AS365" s="54"/>
      <c r="AT365" s="54"/>
    </row>
    <row r="366">
      <c r="A366" s="35" t="s">
        <v>2349</v>
      </c>
      <c r="B366" s="36" t="s">
        <v>2126</v>
      </c>
      <c r="C366" s="36" t="s">
        <v>2160</v>
      </c>
      <c r="D366" s="36" t="s">
        <v>2350</v>
      </c>
      <c r="E366" s="62" t="s">
        <v>2351</v>
      </c>
      <c r="F366" s="38" t="s">
        <v>2352</v>
      </c>
      <c r="G366" s="61">
        <v>9.16442536E8</v>
      </c>
      <c r="H366" s="40"/>
      <c r="I366" s="40">
        <v>751.0</v>
      </c>
      <c r="J366" s="40" t="s">
        <v>65</v>
      </c>
      <c r="K366" s="41" t="s">
        <v>2353</v>
      </c>
      <c r="L366" s="42" t="s">
        <v>67</v>
      </c>
      <c r="M366" s="41" t="s">
        <v>2153</v>
      </c>
      <c r="N366" s="43" t="s">
        <v>2154</v>
      </c>
      <c r="O366" s="42" t="s">
        <v>2155</v>
      </c>
      <c r="P366" s="45"/>
      <c r="Q366" s="45" t="s">
        <v>67</v>
      </c>
      <c r="R366" s="46">
        <v>1.0</v>
      </c>
      <c r="S366" s="45" t="s">
        <v>67</v>
      </c>
      <c r="T366" s="64"/>
      <c r="U366" s="45"/>
      <c r="V366" s="45" t="s">
        <v>1016</v>
      </c>
      <c r="W366" s="68">
        <v>46133.0</v>
      </c>
      <c r="X366" s="49" t="s">
        <v>2354</v>
      </c>
      <c r="Y366" s="49" t="s">
        <v>2355</v>
      </c>
      <c r="Z366" s="40" t="s">
        <v>2356</v>
      </c>
      <c r="AA366" s="45" t="s">
        <v>74</v>
      </c>
      <c r="AB366" s="45" t="s">
        <v>67</v>
      </c>
      <c r="AC366" s="45" t="s">
        <v>475</v>
      </c>
      <c r="AD366" s="51" t="s">
        <v>76</v>
      </c>
      <c r="AE366" s="54"/>
      <c r="AF366" s="45" t="s">
        <v>67</v>
      </c>
      <c r="AG366" s="45"/>
      <c r="AH366" s="45">
        <v>36.0</v>
      </c>
      <c r="AI366" s="45"/>
      <c r="AJ366" s="45"/>
      <c r="AK366" s="45"/>
      <c r="AL366" s="45"/>
      <c r="AM366" s="45"/>
      <c r="AN366" s="45">
        <v>0.0</v>
      </c>
      <c r="AO366" s="55"/>
      <c r="AP366" s="67" t="s">
        <v>2357</v>
      </c>
      <c r="AQ366" s="67" t="s">
        <v>2358</v>
      </c>
      <c r="AR366" s="54"/>
      <c r="AS366" s="54"/>
      <c r="AT366" s="54"/>
    </row>
    <row r="367">
      <c r="A367" s="35" t="s">
        <v>2359</v>
      </c>
      <c r="B367" s="36" t="s">
        <v>2126</v>
      </c>
      <c r="C367" s="36" t="s">
        <v>2136</v>
      </c>
      <c r="D367" s="36" t="s">
        <v>2360</v>
      </c>
      <c r="E367" s="62" t="s">
        <v>2361</v>
      </c>
      <c r="F367" s="38" t="s">
        <v>2362</v>
      </c>
      <c r="G367" s="61">
        <v>9.87090494E8</v>
      </c>
      <c r="H367" s="40">
        <v>2890.0</v>
      </c>
      <c r="I367" s="40">
        <v>783.0</v>
      </c>
      <c r="J367" s="40" t="s">
        <v>65</v>
      </c>
      <c r="K367" s="42" t="s">
        <v>2363</v>
      </c>
      <c r="L367" s="42" t="s">
        <v>74</v>
      </c>
      <c r="M367" s="43" t="s">
        <v>2132</v>
      </c>
      <c r="N367" s="43" t="s">
        <v>2133</v>
      </c>
      <c r="O367" s="42">
        <v>9.14383274E8</v>
      </c>
      <c r="P367" s="45" t="s">
        <v>67</v>
      </c>
      <c r="Q367" s="45" t="s">
        <v>67</v>
      </c>
      <c r="R367" s="46">
        <v>1.0</v>
      </c>
      <c r="S367" s="45" t="s">
        <v>67</v>
      </c>
      <c r="T367" s="64"/>
      <c r="U367" s="45"/>
      <c r="V367" s="45" t="s">
        <v>1016</v>
      </c>
      <c r="W367" s="68">
        <v>46133.0</v>
      </c>
      <c r="X367" s="49" t="s">
        <v>2364</v>
      </c>
      <c r="Y367" s="49" t="s">
        <v>870</v>
      </c>
      <c r="Z367" s="40" t="s">
        <v>2356</v>
      </c>
      <c r="AA367" s="45" t="s">
        <v>74</v>
      </c>
      <c r="AB367" s="45" t="s">
        <v>67</v>
      </c>
      <c r="AC367" s="45" t="s">
        <v>475</v>
      </c>
      <c r="AD367" s="51" t="s">
        <v>76</v>
      </c>
      <c r="AE367" s="54"/>
      <c r="AF367" s="45" t="s">
        <v>67</v>
      </c>
      <c r="AG367" s="45"/>
      <c r="AH367" s="45">
        <v>15.0</v>
      </c>
      <c r="AI367" s="45"/>
      <c r="AJ367" s="45"/>
      <c r="AK367" s="45"/>
      <c r="AL367" s="45"/>
      <c r="AM367" s="45"/>
      <c r="AN367" s="45">
        <v>0.0</v>
      </c>
      <c r="AO367" s="55"/>
      <c r="AP367" s="54"/>
      <c r="AQ367" s="54"/>
      <c r="AR367" s="54"/>
      <c r="AS367" s="54"/>
      <c r="AT367" s="54"/>
    </row>
    <row r="368">
      <c r="A368" s="35" t="s">
        <v>2359</v>
      </c>
      <c r="B368" s="36" t="s">
        <v>2126</v>
      </c>
      <c r="C368" s="36" t="s">
        <v>2136</v>
      </c>
      <c r="D368" s="36" t="s">
        <v>2360</v>
      </c>
      <c r="E368" s="179" t="s">
        <v>2365</v>
      </c>
      <c r="F368" s="38" t="s">
        <v>2366</v>
      </c>
      <c r="G368" s="61">
        <v>9.28131179E8</v>
      </c>
      <c r="H368" s="40">
        <v>2891.0</v>
      </c>
      <c r="I368" s="40">
        <v>784.0</v>
      </c>
      <c r="J368" s="40" t="s">
        <v>65</v>
      </c>
      <c r="K368" s="41" t="s">
        <v>2367</v>
      </c>
      <c r="L368" s="42" t="s">
        <v>74</v>
      </c>
      <c r="M368" s="43" t="s">
        <v>2132</v>
      </c>
      <c r="N368" s="43" t="s">
        <v>2133</v>
      </c>
      <c r="O368" s="42">
        <v>9.14383274E8</v>
      </c>
      <c r="P368" s="45" t="s">
        <v>67</v>
      </c>
      <c r="Q368" s="45" t="s">
        <v>67</v>
      </c>
      <c r="R368" s="46">
        <v>1.0</v>
      </c>
      <c r="S368" s="45" t="s">
        <v>67</v>
      </c>
      <c r="T368" s="64"/>
      <c r="U368" s="45"/>
      <c r="V368" s="45" t="s">
        <v>1016</v>
      </c>
      <c r="W368" s="68">
        <v>46133.0</v>
      </c>
      <c r="X368" s="49" t="s">
        <v>2364</v>
      </c>
      <c r="Y368" s="49" t="s">
        <v>870</v>
      </c>
      <c r="Z368" s="40" t="s">
        <v>2356</v>
      </c>
      <c r="AA368" s="45" t="s">
        <v>74</v>
      </c>
      <c r="AB368" s="45" t="s">
        <v>67</v>
      </c>
      <c r="AC368" s="45" t="s">
        <v>475</v>
      </c>
      <c r="AD368" s="51" t="s">
        <v>76</v>
      </c>
      <c r="AE368" s="54"/>
      <c r="AF368" s="45" t="s">
        <v>67</v>
      </c>
      <c r="AG368" s="45"/>
      <c r="AH368" s="45">
        <v>15.0</v>
      </c>
      <c r="AI368" s="45"/>
      <c r="AJ368" s="45"/>
      <c r="AK368" s="45"/>
      <c r="AL368" s="45"/>
      <c r="AM368" s="45"/>
      <c r="AN368" s="45">
        <v>0.0</v>
      </c>
      <c r="AO368" s="55"/>
      <c r="AP368" s="54"/>
      <c r="AQ368" s="54"/>
      <c r="AR368" s="54"/>
      <c r="AS368" s="54"/>
      <c r="AT368" s="54"/>
    </row>
    <row r="369">
      <c r="A369" s="35" t="s">
        <v>2368</v>
      </c>
      <c r="B369" s="36" t="s">
        <v>2126</v>
      </c>
      <c r="C369" s="36" t="s">
        <v>2188</v>
      </c>
      <c r="D369" s="36" t="s">
        <v>2369</v>
      </c>
      <c r="E369" s="62" t="s">
        <v>2370</v>
      </c>
      <c r="F369" s="38" t="s">
        <v>2371</v>
      </c>
      <c r="G369" s="61">
        <v>9.87690564E8</v>
      </c>
      <c r="H369" s="40">
        <v>2957.0</v>
      </c>
      <c r="I369" s="40">
        <v>1001.0</v>
      </c>
      <c r="J369" s="40" t="s">
        <v>65</v>
      </c>
      <c r="K369" s="41" t="s">
        <v>2372</v>
      </c>
      <c r="L369" s="42" t="s">
        <v>67</v>
      </c>
      <c r="M369" s="53" t="s">
        <v>1497</v>
      </c>
      <c r="N369" s="43" t="s">
        <v>1498</v>
      </c>
      <c r="O369" s="44">
        <v>0.0</v>
      </c>
      <c r="P369" s="45" t="s">
        <v>67</v>
      </c>
      <c r="Q369" s="45" t="s">
        <v>67</v>
      </c>
      <c r="R369" s="46">
        <v>1.0</v>
      </c>
      <c r="S369" s="45" t="s">
        <v>67</v>
      </c>
      <c r="T369" s="64"/>
      <c r="U369" s="45"/>
      <c r="V369" s="45" t="s">
        <v>1016</v>
      </c>
      <c r="W369" s="68">
        <v>46133.0</v>
      </c>
      <c r="X369" s="49" t="s">
        <v>2373</v>
      </c>
      <c r="Y369" s="49" t="s">
        <v>2374</v>
      </c>
      <c r="Z369" s="40" t="s">
        <v>2356</v>
      </c>
      <c r="AA369" s="45" t="s">
        <v>74</v>
      </c>
      <c r="AB369" s="45" t="s">
        <v>67</v>
      </c>
      <c r="AC369" s="45" t="s">
        <v>135</v>
      </c>
      <c r="AD369" s="51" t="s">
        <v>76</v>
      </c>
      <c r="AE369" s="54"/>
      <c r="AF369" s="45" t="s">
        <v>67</v>
      </c>
      <c r="AG369" s="45"/>
      <c r="AH369" s="45">
        <v>10.0</v>
      </c>
      <c r="AI369" s="45"/>
      <c r="AJ369" s="45"/>
      <c r="AK369" s="45"/>
      <c r="AL369" s="45"/>
      <c r="AM369" s="45"/>
      <c r="AN369" s="45">
        <v>0.0</v>
      </c>
      <c r="AO369" s="55"/>
      <c r="AP369" s="54"/>
      <c r="AQ369" s="54"/>
      <c r="AR369" s="54"/>
      <c r="AS369" s="54"/>
      <c r="AT369" s="54"/>
    </row>
    <row r="370">
      <c r="A370" s="35" t="s">
        <v>2375</v>
      </c>
      <c r="B370" s="36" t="s">
        <v>2126</v>
      </c>
      <c r="C370" s="36" t="s">
        <v>2136</v>
      </c>
      <c r="D370" s="36" t="s">
        <v>2376</v>
      </c>
      <c r="E370" s="62" t="s">
        <v>2377</v>
      </c>
      <c r="F370" s="38" t="s">
        <v>2378</v>
      </c>
      <c r="G370" s="61">
        <v>9.29041031E8</v>
      </c>
      <c r="H370" s="40">
        <v>3017.0</v>
      </c>
      <c r="I370" s="40">
        <v>1202.0</v>
      </c>
      <c r="J370" s="40" t="s">
        <v>65</v>
      </c>
      <c r="K370" s="42" t="s">
        <v>2379</v>
      </c>
      <c r="L370" s="42" t="s">
        <v>67</v>
      </c>
      <c r="M370" s="53" t="s">
        <v>2141</v>
      </c>
      <c r="N370" s="43" t="s">
        <v>2142</v>
      </c>
      <c r="O370" s="44">
        <v>9.50035824E8</v>
      </c>
      <c r="P370" s="45" t="s">
        <v>67</v>
      </c>
      <c r="Q370" s="45" t="s">
        <v>67</v>
      </c>
      <c r="R370" s="46">
        <v>4.0</v>
      </c>
      <c r="S370" s="45" t="s">
        <v>67</v>
      </c>
      <c r="T370" s="58"/>
      <c r="U370" s="45"/>
      <c r="V370" s="45" t="s">
        <v>1016</v>
      </c>
      <c r="W370" s="68">
        <v>46133.0</v>
      </c>
      <c r="X370" s="49" t="s">
        <v>2380</v>
      </c>
      <c r="Y370" s="49" t="s">
        <v>1438</v>
      </c>
      <c r="Z370" s="40" t="s">
        <v>2356</v>
      </c>
      <c r="AA370" s="45" t="s">
        <v>74</v>
      </c>
      <c r="AB370" s="45" t="s">
        <v>67</v>
      </c>
      <c r="AC370" s="45" t="s">
        <v>287</v>
      </c>
      <c r="AD370" s="51" t="s">
        <v>76</v>
      </c>
      <c r="AE370" s="54"/>
      <c r="AF370" s="45" t="s">
        <v>67</v>
      </c>
      <c r="AG370" s="45"/>
      <c r="AH370" s="45">
        <v>15.0</v>
      </c>
      <c r="AI370" s="45"/>
      <c r="AJ370" s="45"/>
      <c r="AK370" s="45"/>
      <c r="AL370" s="45"/>
      <c r="AM370" s="45"/>
      <c r="AN370" s="45">
        <v>0.0</v>
      </c>
      <c r="AO370" s="55"/>
      <c r="AP370" s="54"/>
      <c r="AQ370" s="54"/>
      <c r="AR370" s="54"/>
      <c r="AS370" s="54"/>
      <c r="AT370" s="54"/>
    </row>
    <row r="371">
      <c r="A371" s="35" t="s">
        <v>2375</v>
      </c>
      <c r="B371" s="36" t="s">
        <v>2126</v>
      </c>
      <c r="C371" s="36" t="s">
        <v>2136</v>
      </c>
      <c r="D371" s="36" t="s">
        <v>2376</v>
      </c>
      <c r="E371" s="62" t="s">
        <v>2381</v>
      </c>
      <c r="F371" s="38" t="s">
        <v>2382</v>
      </c>
      <c r="G371" s="161"/>
      <c r="H371" s="162"/>
      <c r="I371" s="162"/>
      <c r="J371" s="40" t="s">
        <v>224</v>
      </c>
      <c r="K371" s="41" t="s">
        <v>2383</v>
      </c>
      <c r="L371" s="42" t="s">
        <v>67</v>
      </c>
      <c r="M371" s="53" t="s">
        <v>2141</v>
      </c>
      <c r="N371" s="43" t="s">
        <v>2142</v>
      </c>
      <c r="O371" s="44">
        <v>9.50035824E8</v>
      </c>
      <c r="P371" s="45" t="s">
        <v>67</v>
      </c>
      <c r="Q371" s="45" t="s">
        <v>67</v>
      </c>
      <c r="R371" s="46">
        <v>4.0</v>
      </c>
      <c r="S371" s="45" t="s">
        <v>67</v>
      </c>
      <c r="T371" s="64"/>
      <c r="U371" s="45"/>
      <c r="V371" s="45" t="s">
        <v>1016</v>
      </c>
      <c r="W371" s="68">
        <v>46133.0</v>
      </c>
      <c r="X371" s="49" t="s">
        <v>2380</v>
      </c>
      <c r="Y371" s="49" t="s">
        <v>1183</v>
      </c>
      <c r="Z371" s="40" t="s">
        <v>2356</v>
      </c>
      <c r="AA371" s="45" t="s">
        <v>74</v>
      </c>
      <c r="AB371" s="45" t="s">
        <v>67</v>
      </c>
      <c r="AC371" s="45" t="s">
        <v>287</v>
      </c>
      <c r="AD371" s="51" t="s">
        <v>76</v>
      </c>
      <c r="AE371" s="54"/>
      <c r="AF371" s="45" t="s">
        <v>67</v>
      </c>
      <c r="AG371" s="45"/>
      <c r="AH371" s="45">
        <v>15.0</v>
      </c>
      <c r="AI371" s="45"/>
      <c r="AJ371" s="45"/>
      <c r="AK371" s="45"/>
      <c r="AL371" s="45"/>
      <c r="AM371" s="45"/>
      <c r="AN371" s="45">
        <v>0.0</v>
      </c>
      <c r="AO371" s="55"/>
      <c r="AP371" s="54"/>
      <c r="AQ371" s="54"/>
      <c r="AR371" s="54"/>
      <c r="AS371" s="54"/>
      <c r="AT371" s="54"/>
    </row>
    <row r="372">
      <c r="A372" s="35" t="s">
        <v>2384</v>
      </c>
      <c r="B372" s="36" t="s">
        <v>2126</v>
      </c>
      <c r="C372" s="36" t="s">
        <v>2136</v>
      </c>
      <c r="D372" s="36" t="s">
        <v>2385</v>
      </c>
      <c r="E372" s="62" t="s">
        <v>2386</v>
      </c>
      <c r="F372" s="38" t="s">
        <v>2387</v>
      </c>
      <c r="G372" s="61">
        <v>9.01763078E8</v>
      </c>
      <c r="H372" s="40">
        <v>3018.0</v>
      </c>
      <c r="I372" s="40">
        <v>1203.0</v>
      </c>
      <c r="J372" s="40" t="s">
        <v>65</v>
      </c>
      <c r="K372" s="42" t="s">
        <v>2388</v>
      </c>
      <c r="L372" s="42" t="s">
        <v>67</v>
      </c>
      <c r="M372" s="53" t="s">
        <v>2141</v>
      </c>
      <c r="N372" s="43" t="s">
        <v>2142</v>
      </c>
      <c r="O372" s="44">
        <v>9.50035824E8</v>
      </c>
      <c r="P372" s="45" t="s">
        <v>67</v>
      </c>
      <c r="Q372" s="45" t="s">
        <v>67</v>
      </c>
      <c r="R372" s="46">
        <v>4.0</v>
      </c>
      <c r="S372" s="45" t="s">
        <v>67</v>
      </c>
      <c r="T372" s="64"/>
      <c r="U372" s="45"/>
      <c r="V372" s="45" t="s">
        <v>1016</v>
      </c>
      <c r="W372" s="68">
        <v>46134.0</v>
      </c>
      <c r="X372" s="49" t="s">
        <v>2389</v>
      </c>
      <c r="Y372" s="49"/>
      <c r="Z372" s="40" t="s">
        <v>2356</v>
      </c>
      <c r="AA372" s="45" t="s">
        <v>74</v>
      </c>
      <c r="AB372" s="45" t="s">
        <v>67</v>
      </c>
      <c r="AC372" s="45" t="s">
        <v>86</v>
      </c>
      <c r="AD372" s="51" t="s">
        <v>76</v>
      </c>
      <c r="AE372" s="54"/>
      <c r="AF372" s="45" t="s">
        <v>67</v>
      </c>
      <c r="AG372" s="45"/>
      <c r="AH372" s="45">
        <v>10.0</v>
      </c>
      <c r="AI372" s="45"/>
      <c r="AJ372" s="45"/>
      <c r="AK372" s="45"/>
      <c r="AL372" s="45"/>
      <c r="AM372" s="45"/>
      <c r="AN372" s="45">
        <v>0.0</v>
      </c>
      <c r="AO372" s="55"/>
      <c r="AP372" s="54"/>
      <c r="AQ372" s="54"/>
      <c r="AR372" s="54"/>
      <c r="AS372" s="54"/>
      <c r="AT372" s="54"/>
    </row>
    <row r="373">
      <c r="A373" s="35" t="s">
        <v>2384</v>
      </c>
      <c r="B373" s="36" t="s">
        <v>2126</v>
      </c>
      <c r="C373" s="36" t="s">
        <v>2136</v>
      </c>
      <c r="D373" s="36" t="s">
        <v>2385</v>
      </c>
      <c r="E373" s="62" t="s">
        <v>2390</v>
      </c>
      <c r="F373" s="38" t="s">
        <v>2391</v>
      </c>
      <c r="G373" s="61">
        <v>9.53566508E8</v>
      </c>
      <c r="H373" s="40">
        <v>3019.0</v>
      </c>
      <c r="I373" s="40">
        <v>1204.0</v>
      </c>
      <c r="J373" s="40" t="s">
        <v>65</v>
      </c>
      <c r="K373" s="41" t="s">
        <v>2392</v>
      </c>
      <c r="L373" s="42" t="s">
        <v>67</v>
      </c>
      <c r="M373" s="53" t="s">
        <v>2141</v>
      </c>
      <c r="N373" s="43" t="s">
        <v>2142</v>
      </c>
      <c r="O373" s="44">
        <v>9.50035824E8</v>
      </c>
      <c r="P373" s="45" t="s">
        <v>67</v>
      </c>
      <c r="Q373" s="45" t="s">
        <v>67</v>
      </c>
      <c r="R373" s="46">
        <v>4.0</v>
      </c>
      <c r="S373" s="45" t="s">
        <v>67</v>
      </c>
      <c r="T373" s="64"/>
      <c r="U373" s="45"/>
      <c r="V373" s="45" t="s">
        <v>1016</v>
      </c>
      <c r="W373" s="68">
        <v>46135.0</v>
      </c>
      <c r="X373" s="49" t="s">
        <v>2389</v>
      </c>
      <c r="Y373" s="49"/>
      <c r="Z373" s="40" t="s">
        <v>2356</v>
      </c>
      <c r="AA373" s="45" t="s">
        <v>74</v>
      </c>
      <c r="AB373" s="45" t="s">
        <v>67</v>
      </c>
      <c r="AC373" s="45" t="s">
        <v>86</v>
      </c>
      <c r="AD373" s="51" t="s">
        <v>76</v>
      </c>
      <c r="AE373" s="54"/>
      <c r="AF373" s="45" t="s">
        <v>67</v>
      </c>
      <c r="AG373" s="45"/>
      <c r="AH373" s="45">
        <v>10.0</v>
      </c>
      <c r="AI373" s="45"/>
      <c r="AJ373" s="45"/>
      <c r="AK373" s="45"/>
      <c r="AL373" s="45"/>
      <c r="AM373" s="45"/>
      <c r="AN373" s="45">
        <v>0.0</v>
      </c>
      <c r="AO373" s="55"/>
      <c r="AP373" s="54"/>
      <c r="AQ373" s="54"/>
      <c r="AR373" s="54"/>
      <c r="AS373" s="54"/>
      <c r="AT373" s="54"/>
    </row>
    <row r="374">
      <c r="A374" s="35" t="s">
        <v>2393</v>
      </c>
      <c r="B374" s="36" t="s">
        <v>2126</v>
      </c>
      <c r="C374" s="36" t="s">
        <v>2160</v>
      </c>
      <c r="D374" s="36" t="s">
        <v>2394</v>
      </c>
      <c r="E374" s="62" t="s">
        <v>2395</v>
      </c>
      <c r="F374" s="38" t="s">
        <v>2396</v>
      </c>
      <c r="G374" s="61">
        <v>9.30764936E8</v>
      </c>
      <c r="H374" s="40"/>
      <c r="I374" s="40">
        <v>752.0</v>
      </c>
      <c r="J374" s="40" t="s">
        <v>65</v>
      </c>
      <c r="K374" s="41" t="s">
        <v>2397</v>
      </c>
      <c r="L374" s="42" t="s">
        <v>67</v>
      </c>
      <c r="M374" s="53" t="s">
        <v>2153</v>
      </c>
      <c r="N374" s="43" t="s">
        <v>2154</v>
      </c>
      <c r="O374" s="42" t="s">
        <v>2155</v>
      </c>
      <c r="P374" s="45" t="s">
        <v>67</v>
      </c>
      <c r="Q374" s="45" t="s">
        <v>67</v>
      </c>
      <c r="R374" s="46">
        <v>1.0</v>
      </c>
      <c r="S374" s="45" t="s">
        <v>67</v>
      </c>
      <c r="T374" s="64"/>
      <c r="U374" s="45"/>
      <c r="V374" s="45" t="s">
        <v>1016</v>
      </c>
      <c r="W374" s="68">
        <v>46133.0</v>
      </c>
      <c r="X374" s="49" t="s">
        <v>2398</v>
      </c>
      <c r="Y374" s="49" t="s">
        <v>893</v>
      </c>
      <c r="Z374" s="40" t="s">
        <v>2356</v>
      </c>
      <c r="AA374" s="45" t="s">
        <v>74</v>
      </c>
      <c r="AB374" s="45" t="s">
        <v>67</v>
      </c>
      <c r="AC374" s="45" t="s">
        <v>135</v>
      </c>
      <c r="AD374" s="51" t="s">
        <v>76</v>
      </c>
      <c r="AE374" s="54"/>
      <c r="AF374" s="45" t="s">
        <v>67</v>
      </c>
      <c r="AG374" s="45"/>
      <c r="AH374" s="45">
        <v>10.0</v>
      </c>
      <c r="AI374" s="45"/>
      <c r="AJ374" s="45"/>
      <c r="AK374" s="45"/>
      <c r="AL374" s="45"/>
      <c r="AM374" s="45"/>
      <c r="AN374" s="45">
        <v>0.0</v>
      </c>
      <c r="AO374" s="55"/>
      <c r="AP374" s="54"/>
      <c r="AQ374" s="67" t="s">
        <v>2399</v>
      </c>
      <c r="AR374" s="54"/>
      <c r="AS374" s="54"/>
      <c r="AT374" s="54"/>
    </row>
    <row r="375">
      <c r="A375" s="35" t="s">
        <v>2393</v>
      </c>
      <c r="B375" s="36" t="s">
        <v>2126</v>
      </c>
      <c r="C375" s="36" t="s">
        <v>2160</v>
      </c>
      <c r="D375" s="36" t="s">
        <v>2394</v>
      </c>
      <c r="E375" s="62" t="s">
        <v>2400</v>
      </c>
      <c r="F375" s="38" t="s">
        <v>2401</v>
      </c>
      <c r="G375" s="61" t="s">
        <v>2402</v>
      </c>
      <c r="H375" s="40"/>
      <c r="I375" s="40">
        <v>753.0</v>
      </c>
      <c r="J375" s="40" t="s">
        <v>65</v>
      </c>
      <c r="K375" s="42" t="s">
        <v>2403</v>
      </c>
      <c r="L375" s="42" t="s">
        <v>67</v>
      </c>
      <c r="M375" s="53" t="s">
        <v>2153</v>
      </c>
      <c r="N375" s="43" t="s">
        <v>2154</v>
      </c>
      <c r="O375" s="42" t="s">
        <v>2155</v>
      </c>
      <c r="P375" s="45" t="s">
        <v>67</v>
      </c>
      <c r="Q375" s="45" t="s">
        <v>67</v>
      </c>
      <c r="R375" s="46">
        <v>1.0</v>
      </c>
      <c r="S375" s="45" t="s">
        <v>67</v>
      </c>
      <c r="T375" s="64"/>
      <c r="U375" s="45"/>
      <c r="V375" s="45" t="s">
        <v>1016</v>
      </c>
      <c r="W375" s="68">
        <v>46133.0</v>
      </c>
      <c r="X375" s="49" t="s">
        <v>2398</v>
      </c>
      <c r="Y375" s="49" t="s">
        <v>893</v>
      </c>
      <c r="Z375" s="40" t="s">
        <v>2356</v>
      </c>
      <c r="AA375" s="45" t="s">
        <v>74</v>
      </c>
      <c r="AB375" s="45" t="s">
        <v>67</v>
      </c>
      <c r="AC375" s="45" t="s">
        <v>135</v>
      </c>
      <c r="AD375" s="51" t="s">
        <v>76</v>
      </c>
      <c r="AE375" s="54"/>
      <c r="AF375" s="45" t="s">
        <v>67</v>
      </c>
      <c r="AG375" s="45"/>
      <c r="AH375" s="45">
        <v>10.0</v>
      </c>
      <c r="AI375" s="45"/>
      <c r="AJ375" s="45"/>
      <c r="AK375" s="45"/>
      <c r="AL375" s="45"/>
      <c r="AM375" s="45"/>
      <c r="AN375" s="45">
        <v>0.0</v>
      </c>
      <c r="AO375" s="55"/>
      <c r="AP375" s="54"/>
      <c r="AQ375" s="67" t="s">
        <v>2399</v>
      </c>
      <c r="AR375" s="54"/>
      <c r="AS375" s="54"/>
      <c r="AT375" s="54"/>
    </row>
    <row r="376">
      <c r="A376" s="35" t="s">
        <v>2404</v>
      </c>
      <c r="B376" s="36" t="s">
        <v>2126</v>
      </c>
      <c r="C376" s="36" t="s">
        <v>2310</v>
      </c>
      <c r="D376" s="36" t="s">
        <v>2405</v>
      </c>
      <c r="E376" s="62" t="s">
        <v>2406</v>
      </c>
      <c r="F376" s="38" t="s">
        <v>2407</v>
      </c>
      <c r="G376" s="61">
        <v>9.04518137E8</v>
      </c>
      <c r="H376" s="40">
        <v>2966.0</v>
      </c>
      <c r="I376" s="40">
        <v>1208.0</v>
      </c>
      <c r="J376" s="40" t="s">
        <v>65</v>
      </c>
      <c r="K376" s="41" t="s">
        <v>2408</v>
      </c>
      <c r="L376" s="42" t="s">
        <v>67</v>
      </c>
      <c r="M376" s="58" t="s">
        <v>2409</v>
      </c>
      <c r="N376" s="43" t="s">
        <v>2133</v>
      </c>
      <c r="O376" s="42">
        <v>9.14383274E8</v>
      </c>
      <c r="P376" s="45" t="s">
        <v>67</v>
      </c>
      <c r="Q376" s="45" t="s">
        <v>67</v>
      </c>
      <c r="R376" s="46">
        <v>2.0</v>
      </c>
      <c r="S376" s="45" t="s">
        <v>67</v>
      </c>
      <c r="T376" s="64"/>
      <c r="U376" s="45"/>
      <c r="V376" s="45" t="s">
        <v>1016</v>
      </c>
      <c r="W376" s="68">
        <v>46133.0</v>
      </c>
      <c r="X376" s="49" t="s">
        <v>2410</v>
      </c>
      <c r="Y376" s="49" t="s">
        <v>1217</v>
      </c>
      <c r="Z376" s="40" t="s">
        <v>2356</v>
      </c>
      <c r="AA376" s="45" t="s">
        <v>74</v>
      </c>
      <c r="AB376" s="45" t="s">
        <v>67</v>
      </c>
      <c r="AC376" s="45" t="s">
        <v>306</v>
      </c>
      <c r="AD376" s="51" t="s">
        <v>76</v>
      </c>
      <c r="AE376" s="54"/>
      <c r="AF376" s="45" t="s">
        <v>67</v>
      </c>
      <c r="AG376" s="45"/>
      <c r="AH376" s="45">
        <v>15.0</v>
      </c>
      <c r="AI376" s="45"/>
      <c r="AJ376" s="45"/>
      <c r="AK376" s="45"/>
      <c r="AL376" s="45"/>
      <c r="AM376" s="45"/>
      <c r="AN376" s="45">
        <v>0.0</v>
      </c>
      <c r="AO376" s="55"/>
      <c r="AP376" s="54"/>
      <c r="AQ376" s="54"/>
      <c r="AR376" s="54"/>
      <c r="AS376" s="54"/>
      <c r="AT376" s="54"/>
    </row>
    <row r="377">
      <c r="A377" s="35" t="s">
        <v>2404</v>
      </c>
      <c r="B377" s="36" t="s">
        <v>2126</v>
      </c>
      <c r="C377" s="36" t="s">
        <v>2310</v>
      </c>
      <c r="D377" s="36" t="s">
        <v>2405</v>
      </c>
      <c r="E377" s="62" t="s">
        <v>2411</v>
      </c>
      <c r="F377" s="38" t="s">
        <v>2412</v>
      </c>
      <c r="G377" s="61">
        <v>9.41917242E8</v>
      </c>
      <c r="H377" s="40">
        <v>2895.0</v>
      </c>
      <c r="I377" s="40">
        <v>788.0</v>
      </c>
      <c r="J377" s="40" t="s">
        <v>65</v>
      </c>
      <c r="K377" s="41" t="s">
        <v>2413</v>
      </c>
      <c r="L377" s="42" t="s">
        <v>67</v>
      </c>
      <c r="M377" s="58" t="s">
        <v>2409</v>
      </c>
      <c r="N377" s="43" t="s">
        <v>2133</v>
      </c>
      <c r="O377" s="42">
        <v>9.14383274E8</v>
      </c>
      <c r="P377" s="45" t="s">
        <v>67</v>
      </c>
      <c r="Q377" s="45" t="s">
        <v>67</v>
      </c>
      <c r="R377" s="46">
        <v>2.0</v>
      </c>
      <c r="S377" s="45" t="s">
        <v>67</v>
      </c>
      <c r="T377" s="64"/>
      <c r="U377" s="45"/>
      <c r="V377" s="45" t="s">
        <v>1016</v>
      </c>
      <c r="W377" s="68">
        <v>46133.0</v>
      </c>
      <c r="X377" s="49" t="s">
        <v>2410</v>
      </c>
      <c r="Y377" s="49" t="s">
        <v>1217</v>
      </c>
      <c r="Z377" s="40" t="s">
        <v>2356</v>
      </c>
      <c r="AA377" s="45" t="s">
        <v>74</v>
      </c>
      <c r="AB377" s="45" t="s">
        <v>67</v>
      </c>
      <c r="AC377" s="45" t="s">
        <v>306</v>
      </c>
      <c r="AD377" s="51" t="s">
        <v>76</v>
      </c>
      <c r="AE377" s="54"/>
      <c r="AF377" s="45" t="s">
        <v>67</v>
      </c>
      <c r="AG377" s="45"/>
      <c r="AH377" s="45">
        <v>15.0</v>
      </c>
      <c r="AI377" s="45"/>
      <c r="AJ377" s="45"/>
      <c r="AK377" s="45"/>
      <c r="AL377" s="45"/>
      <c r="AM377" s="45"/>
      <c r="AN377" s="45">
        <v>0.0</v>
      </c>
      <c r="AO377" s="55"/>
      <c r="AP377" s="54"/>
      <c r="AQ377" s="54"/>
      <c r="AR377" s="54"/>
      <c r="AS377" s="54"/>
      <c r="AT377" s="54"/>
    </row>
    <row r="378">
      <c r="A378" s="35" t="s">
        <v>2414</v>
      </c>
      <c r="B378" s="36" t="s">
        <v>2126</v>
      </c>
      <c r="C378" s="36" t="s">
        <v>2126</v>
      </c>
      <c r="D378" s="36" t="s">
        <v>2415</v>
      </c>
      <c r="E378" s="62" t="s">
        <v>2416</v>
      </c>
      <c r="F378" s="38" t="s">
        <v>2417</v>
      </c>
      <c r="G378" s="61">
        <v>9.2652076E8</v>
      </c>
      <c r="H378" s="40">
        <v>2809.0</v>
      </c>
      <c r="I378" s="40">
        <v>1194.0</v>
      </c>
      <c r="J378" s="40" t="s">
        <v>65</v>
      </c>
      <c r="K378" s="42" t="s">
        <v>2418</v>
      </c>
      <c r="L378" s="42" t="s">
        <v>67</v>
      </c>
      <c r="M378" s="43" t="s">
        <v>2132</v>
      </c>
      <c r="N378" s="43" t="s">
        <v>2133</v>
      </c>
      <c r="O378" s="42">
        <v>9.14383274E8</v>
      </c>
      <c r="P378" s="45" t="s">
        <v>67</v>
      </c>
      <c r="Q378" s="45" t="s">
        <v>67</v>
      </c>
      <c r="R378" s="46">
        <v>3.0</v>
      </c>
      <c r="S378" s="45" t="s">
        <v>67</v>
      </c>
      <c r="T378" s="64"/>
      <c r="U378" s="45"/>
      <c r="V378" s="45" t="s">
        <v>1016</v>
      </c>
      <c r="W378" s="68">
        <v>46133.0</v>
      </c>
      <c r="X378" s="49" t="s">
        <v>2419</v>
      </c>
      <c r="Y378" s="49" t="s">
        <v>992</v>
      </c>
      <c r="Z378" s="40" t="s">
        <v>2356</v>
      </c>
      <c r="AA378" s="45" t="s">
        <v>74</v>
      </c>
      <c r="AB378" s="45" t="s">
        <v>67</v>
      </c>
      <c r="AC378" s="45" t="s">
        <v>96</v>
      </c>
      <c r="AD378" s="51" t="s">
        <v>76</v>
      </c>
      <c r="AE378" s="54"/>
      <c r="AF378" s="45" t="s">
        <v>67</v>
      </c>
      <c r="AG378" s="45"/>
      <c r="AH378" s="45">
        <v>20.0</v>
      </c>
      <c r="AI378" s="45"/>
      <c r="AJ378" s="45"/>
      <c r="AK378" s="45"/>
      <c r="AL378" s="45"/>
      <c r="AM378" s="45"/>
      <c r="AN378" s="45">
        <v>0.0</v>
      </c>
      <c r="AO378" s="55"/>
      <c r="AP378" s="54"/>
      <c r="AQ378" s="54"/>
      <c r="AR378" s="54"/>
      <c r="AS378" s="54"/>
      <c r="AT378" s="54"/>
    </row>
    <row r="379">
      <c r="A379" s="35" t="s">
        <v>2414</v>
      </c>
      <c r="B379" s="36" t="s">
        <v>2126</v>
      </c>
      <c r="C379" s="36" t="s">
        <v>2126</v>
      </c>
      <c r="D379" s="36" t="s">
        <v>2415</v>
      </c>
      <c r="E379" s="62" t="s">
        <v>2420</v>
      </c>
      <c r="F379" s="38" t="s">
        <v>2421</v>
      </c>
      <c r="G379" s="61">
        <v>9.73502876E8</v>
      </c>
      <c r="H379" s="40"/>
      <c r="I379" s="40"/>
      <c r="J379" s="40" t="s">
        <v>224</v>
      </c>
      <c r="K379" s="41" t="s">
        <v>2422</v>
      </c>
      <c r="L379" s="42" t="s">
        <v>67</v>
      </c>
      <c r="M379" s="43" t="s">
        <v>2132</v>
      </c>
      <c r="N379" s="43" t="s">
        <v>2133</v>
      </c>
      <c r="O379" s="42">
        <v>9.14383274E8</v>
      </c>
      <c r="P379" s="45" t="s">
        <v>67</v>
      </c>
      <c r="Q379" s="45" t="s">
        <v>67</v>
      </c>
      <c r="R379" s="46">
        <v>3.0</v>
      </c>
      <c r="S379" s="45" t="s">
        <v>67</v>
      </c>
      <c r="T379" s="64"/>
      <c r="U379" s="45"/>
      <c r="V379" s="45" t="s">
        <v>608</v>
      </c>
      <c r="W379" s="68">
        <v>46133.0</v>
      </c>
      <c r="X379" s="49" t="s">
        <v>2419</v>
      </c>
      <c r="Y379" s="49" t="s">
        <v>992</v>
      </c>
      <c r="Z379" s="40" t="s">
        <v>2356</v>
      </c>
      <c r="AA379" s="45" t="s">
        <v>74</v>
      </c>
      <c r="AB379" s="45" t="s">
        <v>67</v>
      </c>
      <c r="AC379" s="45" t="s">
        <v>96</v>
      </c>
      <c r="AD379" s="51" t="s">
        <v>76</v>
      </c>
      <c r="AE379" s="54"/>
      <c r="AF379" s="45" t="s">
        <v>67</v>
      </c>
      <c r="AG379" s="45"/>
      <c r="AH379" s="45">
        <v>20.0</v>
      </c>
      <c r="AI379" s="45"/>
      <c r="AJ379" s="45"/>
      <c r="AK379" s="45"/>
      <c r="AL379" s="45"/>
      <c r="AM379" s="45"/>
      <c r="AN379" s="45">
        <v>0.0</v>
      </c>
      <c r="AO379" s="55"/>
      <c r="AP379" s="54"/>
      <c r="AQ379" s="54"/>
      <c r="AR379" s="54"/>
      <c r="AS379" s="54"/>
      <c r="AT379" s="54"/>
    </row>
    <row r="380">
      <c r="A380" s="35" t="s">
        <v>2423</v>
      </c>
      <c r="B380" s="36" t="s">
        <v>2126</v>
      </c>
      <c r="C380" s="36" t="s">
        <v>2127</v>
      </c>
      <c r="D380" s="36" t="s">
        <v>2424</v>
      </c>
      <c r="E380" s="62" t="s">
        <v>2425</v>
      </c>
      <c r="F380" s="38" t="s">
        <v>2426</v>
      </c>
      <c r="G380" s="61">
        <v>9.29991521E8</v>
      </c>
      <c r="H380" s="40">
        <v>2808.0</v>
      </c>
      <c r="I380" s="40">
        <v>1192.0</v>
      </c>
      <c r="J380" s="40" t="s">
        <v>65</v>
      </c>
      <c r="K380" s="42" t="s">
        <v>2427</v>
      </c>
      <c r="L380" s="42" t="s">
        <v>67</v>
      </c>
      <c r="M380" s="43" t="s">
        <v>2132</v>
      </c>
      <c r="N380" s="43" t="s">
        <v>2133</v>
      </c>
      <c r="O380" s="42">
        <v>9.14383274E8</v>
      </c>
      <c r="P380" s="45" t="s">
        <v>67</v>
      </c>
      <c r="Q380" s="45" t="s">
        <v>67</v>
      </c>
      <c r="R380" s="46">
        <v>4.0</v>
      </c>
      <c r="S380" s="45" t="s">
        <v>67</v>
      </c>
      <c r="T380" s="58" t="s">
        <v>2428</v>
      </c>
      <c r="U380" s="45"/>
      <c r="V380" s="45" t="s">
        <v>1016</v>
      </c>
      <c r="W380" s="58" t="s">
        <v>2428</v>
      </c>
      <c r="X380" s="49" t="s">
        <v>2429</v>
      </c>
      <c r="Y380" s="49" t="s">
        <v>2430</v>
      </c>
      <c r="Z380" s="40" t="s">
        <v>2356</v>
      </c>
      <c r="AA380" s="45" t="s">
        <v>74</v>
      </c>
      <c r="AB380" s="45" t="s">
        <v>67</v>
      </c>
      <c r="AC380" s="45" t="s">
        <v>458</v>
      </c>
      <c r="AD380" s="51" t="s">
        <v>1081</v>
      </c>
      <c r="AE380" s="54"/>
      <c r="AF380" s="45" t="s">
        <v>67</v>
      </c>
      <c r="AG380" s="45"/>
      <c r="AH380" s="45">
        <v>0.0</v>
      </c>
      <c r="AI380" s="45"/>
      <c r="AJ380" s="45"/>
      <c r="AK380" s="45"/>
      <c r="AL380" s="45"/>
      <c r="AM380" s="45"/>
      <c r="AN380" s="45">
        <v>0.0</v>
      </c>
      <c r="AO380" s="55"/>
      <c r="AP380" s="67" t="s">
        <v>2431</v>
      </c>
      <c r="AQ380" s="54"/>
      <c r="AR380" s="54"/>
      <c r="AS380" s="54"/>
      <c r="AT380" s="54"/>
    </row>
    <row r="381">
      <c r="A381" s="35" t="s">
        <v>2432</v>
      </c>
      <c r="B381" s="36" t="s">
        <v>2126</v>
      </c>
      <c r="C381" s="36" t="s">
        <v>2126</v>
      </c>
      <c r="D381" s="36" t="s">
        <v>2433</v>
      </c>
      <c r="E381" s="62" t="s">
        <v>2434</v>
      </c>
      <c r="F381" s="38" t="s">
        <v>2435</v>
      </c>
      <c r="G381" s="61">
        <v>9.65257601E8</v>
      </c>
      <c r="H381" s="40" t="s">
        <v>209</v>
      </c>
      <c r="I381" s="40" t="s">
        <v>201</v>
      </c>
      <c r="J381" s="40" t="s">
        <v>149</v>
      </c>
      <c r="K381" s="41" t="s">
        <v>2436</v>
      </c>
      <c r="L381" s="42" t="s">
        <v>67</v>
      </c>
      <c r="M381" s="43" t="s">
        <v>2132</v>
      </c>
      <c r="N381" s="43" t="s">
        <v>2133</v>
      </c>
      <c r="O381" s="42">
        <v>9.14383274E8</v>
      </c>
      <c r="P381" s="45" t="s">
        <v>67</v>
      </c>
      <c r="Q381" s="45" t="s">
        <v>67</v>
      </c>
      <c r="R381" s="46">
        <v>3.0</v>
      </c>
      <c r="S381" s="45" t="s">
        <v>67</v>
      </c>
      <c r="T381" s="58" t="s">
        <v>2437</v>
      </c>
      <c r="U381" s="45"/>
      <c r="V381" s="45" t="s">
        <v>608</v>
      </c>
      <c r="W381" s="180" t="s">
        <v>2438</v>
      </c>
      <c r="X381" s="49" t="s">
        <v>2439</v>
      </c>
      <c r="Y381" s="49"/>
      <c r="Z381" s="40" t="s">
        <v>2356</v>
      </c>
      <c r="AA381" s="45" t="s">
        <v>74</v>
      </c>
      <c r="AB381" s="45" t="s">
        <v>67</v>
      </c>
      <c r="AC381" s="45" t="s">
        <v>149</v>
      </c>
      <c r="AD381" s="51" t="s">
        <v>76</v>
      </c>
      <c r="AE381" s="54"/>
      <c r="AF381" s="45" t="s">
        <v>67</v>
      </c>
      <c r="AG381" s="45"/>
      <c r="AH381" s="45">
        <v>0.0</v>
      </c>
      <c r="AI381" s="45"/>
      <c r="AJ381" s="45"/>
      <c r="AK381" s="45"/>
      <c r="AL381" s="45"/>
      <c r="AM381" s="45"/>
      <c r="AN381" s="45">
        <v>0.0</v>
      </c>
      <c r="AO381" s="55"/>
      <c r="AP381" s="54"/>
      <c r="AQ381" s="54"/>
      <c r="AR381" s="54"/>
      <c r="AS381" s="54"/>
      <c r="AT381" s="54"/>
    </row>
    <row r="382">
      <c r="A382" s="35" t="s">
        <v>2440</v>
      </c>
      <c r="B382" s="36" t="s">
        <v>2126</v>
      </c>
      <c r="C382" s="36" t="s">
        <v>2126</v>
      </c>
      <c r="D382" s="36" t="s">
        <v>2441</v>
      </c>
      <c r="E382" s="62" t="s">
        <v>2442</v>
      </c>
      <c r="F382" s="38" t="s">
        <v>2443</v>
      </c>
      <c r="G382" s="61">
        <v>9.79788779E8</v>
      </c>
      <c r="H382" s="40"/>
      <c r="I382" s="40"/>
      <c r="J382" s="40" t="s">
        <v>65</v>
      </c>
      <c r="K382" s="41" t="s">
        <v>2444</v>
      </c>
      <c r="L382" s="42" t="s">
        <v>67</v>
      </c>
      <c r="M382" s="43" t="s">
        <v>2132</v>
      </c>
      <c r="N382" s="43" t="s">
        <v>2133</v>
      </c>
      <c r="O382" s="42">
        <v>9.14383274E8</v>
      </c>
      <c r="P382" s="45" t="s">
        <v>67</v>
      </c>
      <c r="Q382" s="45" t="s">
        <v>67</v>
      </c>
      <c r="R382" s="46">
        <v>3.0</v>
      </c>
      <c r="S382" s="45" t="s">
        <v>67</v>
      </c>
      <c r="T382" s="64"/>
      <c r="U382" s="45"/>
      <c r="V382" s="45" t="s">
        <v>1016</v>
      </c>
      <c r="W382" s="68">
        <v>46133.0</v>
      </c>
      <c r="X382" s="49" t="s">
        <v>2445</v>
      </c>
      <c r="Y382" s="49" t="s">
        <v>666</v>
      </c>
      <c r="Z382" s="40" t="s">
        <v>2356</v>
      </c>
      <c r="AA382" s="45" t="s">
        <v>74</v>
      </c>
      <c r="AB382" s="45" t="s">
        <v>67</v>
      </c>
      <c r="AC382" s="45" t="s">
        <v>86</v>
      </c>
      <c r="AD382" s="51" t="s">
        <v>76</v>
      </c>
      <c r="AE382" s="54"/>
      <c r="AF382" s="45" t="s">
        <v>67</v>
      </c>
      <c r="AG382" s="45"/>
      <c r="AH382" s="45">
        <v>20.0</v>
      </c>
      <c r="AI382" s="45"/>
      <c r="AJ382" s="45"/>
      <c r="AK382" s="45"/>
      <c r="AL382" s="45"/>
      <c r="AM382" s="45"/>
      <c r="AN382" s="45">
        <v>0.0</v>
      </c>
      <c r="AO382" s="55"/>
      <c r="AQ382" s="67"/>
      <c r="AR382" s="54"/>
      <c r="AS382" s="54"/>
      <c r="AT382" s="54"/>
    </row>
    <row r="383">
      <c r="A383" s="35" t="s">
        <v>2440</v>
      </c>
      <c r="B383" s="36" t="s">
        <v>2126</v>
      </c>
      <c r="C383" s="36" t="s">
        <v>2126</v>
      </c>
      <c r="D383" s="36" t="s">
        <v>2441</v>
      </c>
      <c r="E383" s="62" t="s">
        <v>2446</v>
      </c>
      <c r="F383" s="38" t="s">
        <v>2447</v>
      </c>
      <c r="G383" s="61">
        <v>9.00908169E8</v>
      </c>
      <c r="H383" s="40">
        <v>2880.0</v>
      </c>
      <c r="I383" s="40">
        <v>772.0</v>
      </c>
      <c r="J383" s="40" t="s">
        <v>65</v>
      </c>
      <c r="K383" s="42" t="s">
        <v>2448</v>
      </c>
      <c r="L383" s="42" t="s">
        <v>74</v>
      </c>
      <c r="M383" s="43" t="s">
        <v>2132</v>
      </c>
      <c r="N383" s="43" t="s">
        <v>2133</v>
      </c>
      <c r="O383" s="42">
        <v>9.14383274E8</v>
      </c>
      <c r="P383" s="45" t="s">
        <v>67</v>
      </c>
      <c r="Q383" s="45" t="s">
        <v>67</v>
      </c>
      <c r="R383" s="46">
        <v>3.0</v>
      </c>
      <c r="S383" s="45" t="s">
        <v>67</v>
      </c>
      <c r="T383" s="64"/>
      <c r="U383" s="45"/>
      <c r="V383" s="45" t="s">
        <v>608</v>
      </c>
      <c r="W383" s="68">
        <v>46133.0</v>
      </c>
      <c r="X383" s="49" t="s">
        <v>2445</v>
      </c>
      <c r="Y383" s="49" t="s">
        <v>666</v>
      </c>
      <c r="Z383" s="40" t="s">
        <v>2356</v>
      </c>
      <c r="AA383" s="45" t="s">
        <v>74</v>
      </c>
      <c r="AB383" s="45" t="s">
        <v>67</v>
      </c>
      <c r="AC383" s="45" t="s">
        <v>86</v>
      </c>
      <c r="AD383" s="51" t="s">
        <v>76</v>
      </c>
      <c r="AE383" s="54"/>
      <c r="AF383" s="45" t="s">
        <v>67</v>
      </c>
      <c r="AG383" s="45"/>
      <c r="AH383" s="45">
        <v>20.0</v>
      </c>
      <c r="AI383" s="45"/>
      <c r="AJ383" s="45"/>
      <c r="AK383" s="45"/>
      <c r="AL383" s="45"/>
      <c r="AM383" s="45"/>
      <c r="AN383" s="45">
        <v>0.0</v>
      </c>
      <c r="AO383" s="55"/>
      <c r="AP383" s="54"/>
      <c r="AQ383" s="67"/>
      <c r="AR383" s="54"/>
      <c r="AS383" s="54"/>
      <c r="AT383" s="54"/>
    </row>
    <row r="384">
      <c r="A384" s="35" t="s">
        <v>2449</v>
      </c>
      <c r="B384" s="36" t="s">
        <v>2126</v>
      </c>
      <c r="C384" s="36" t="s">
        <v>2188</v>
      </c>
      <c r="D384" s="36" t="s">
        <v>2450</v>
      </c>
      <c r="E384" s="62" t="s">
        <v>2451</v>
      </c>
      <c r="F384" s="38" t="s">
        <v>2452</v>
      </c>
      <c r="G384" s="61">
        <v>9.95050267E8</v>
      </c>
      <c r="H384" s="40"/>
      <c r="I384" s="40"/>
      <c r="J384" s="40" t="s">
        <v>224</v>
      </c>
      <c r="K384" s="41" t="s">
        <v>2453</v>
      </c>
      <c r="L384" s="42" t="s">
        <v>67</v>
      </c>
      <c r="M384" s="53" t="s">
        <v>1497</v>
      </c>
      <c r="N384" s="43" t="s">
        <v>1498</v>
      </c>
      <c r="O384" s="44">
        <v>0.0</v>
      </c>
      <c r="P384" s="45" t="s">
        <v>67</v>
      </c>
      <c r="Q384" s="45" t="s">
        <v>67</v>
      </c>
      <c r="R384" s="46">
        <v>2.0</v>
      </c>
      <c r="S384" s="45" t="s">
        <v>67</v>
      </c>
      <c r="T384" s="58"/>
      <c r="U384" s="45"/>
      <c r="V384" s="45"/>
      <c r="W384" s="68">
        <v>46131.0</v>
      </c>
      <c r="X384" s="49" t="s">
        <v>2454</v>
      </c>
      <c r="Y384" s="49" t="s">
        <v>2455</v>
      </c>
      <c r="Z384" s="40" t="s">
        <v>2356</v>
      </c>
      <c r="AA384" s="45" t="s">
        <v>74</v>
      </c>
      <c r="AB384" s="45" t="s">
        <v>67</v>
      </c>
      <c r="AC384" s="45" t="s">
        <v>458</v>
      </c>
      <c r="AD384" s="51" t="s">
        <v>76</v>
      </c>
      <c r="AE384" s="54"/>
      <c r="AF384" s="45" t="s">
        <v>67</v>
      </c>
      <c r="AG384" s="45"/>
      <c r="AH384" s="45">
        <v>50.0</v>
      </c>
      <c r="AI384" s="45"/>
      <c r="AJ384" s="45"/>
      <c r="AK384" s="45"/>
      <c r="AL384" s="45"/>
      <c r="AM384" s="45"/>
      <c r="AN384" s="45">
        <v>0.0</v>
      </c>
      <c r="AO384" s="55"/>
      <c r="AP384" s="67" t="s">
        <v>2456</v>
      </c>
      <c r="AQ384" s="54"/>
      <c r="AR384" s="54"/>
      <c r="AS384" s="54"/>
      <c r="AT384" s="54"/>
    </row>
    <row r="385">
      <c r="A385" s="35" t="s">
        <v>2457</v>
      </c>
      <c r="B385" s="36" t="s">
        <v>2126</v>
      </c>
      <c r="C385" s="36" t="s">
        <v>2310</v>
      </c>
      <c r="D385" s="36" t="s">
        <v>2458</v>
      </c>
      <c r="E385" s="62" t="s">
        <v>2459</v>
      </c>
      <c r="F385" s="38" t="s">
        <v>2460</v>
      </c>
      <c r="G385" s="61"/>
      <c r="H385" s="40"/>
      <c r="I385" s="40"/>
      <c r="J385" s="40" t="s">
        <v>224</v>
      </c>
      <c r="K385" s="41" t="s">
        <v>2461</v>
      </c>
      <c r="L385" s="42" t="s">
        <v>74</v>
      </c>
      <c r="M385" s="58" t="s">
        <v>2338</v>
      </c>
      <c r="N385" s="43" t="s">
        <v>2133</v>
      </c>
      <c r="O385" s="42">
        <v>9.14383274E8</v>
      </c>
      <c r="P385" s="45" t="s">
        <v>67</v>
      </c>
      <c r="Q385" s="45" t="s">
        <v>67</v>
      </c>
      <c r="R385" s="46">
        <v>2.0</v>
      </c>
      <c r="S385" s="45" t="s">
        <v>67</v>
      </c>
      <c r="T385" s="58"/>
      <c r="U385" s="45"/>
      <c r="V385" s="45" t="s">
        <v>608</v>
      </c>
      <c r="W385" s="181">
        <v>46134.0</v>
      </c>
      <c r="X385" s="49" t="s">
        <v>2462</v>
      </c>
      <c r="Y385" s="49"/>
      <c r="Z385" s="40" t="s">
        <v>2356</v>
      </c>
      <c r="AA385" s="45" t="s">
        <v>74</v>
      </c>
      <c r="AB385" s="45" t="s">
        <v>67</v>
      </c>
      <c r="AC385" s="45" t="s">
        <v>458</v>
      </c>
      <c r="AD385" s="51" t="s">
        <v>76</v>
      </c>
      <c r="AE385" s="54"/>
      <c r="AF385" s="45" t="s">
        <v>67</v>
      </c>
      <c r="AG385" s="45"/>
      <c r="AH385" s="45">
        <v>0.0</v>
      </c>
      <c r="AI385" s="45"/>
      <c r="AJ385" s="45"/>
      <c r="AK385" s="45"/>
      <c r="AL385" s="45"/>
      <c r="AM385" s="45"/>
      <c r="AN385" s="45">
        <v>0.0</v>
      </c>
      <c r="AO385" s="55"/>
      <c r="AP385" s="54"/>
      <c r="AQ385" s="54"/>
      <c r="AR385" s="54"/>
      <c r="AS385" s="54"/>
      <c r="AT385" s="54"/>
    </row>
    <row r="386">
      <c r="A386" s="35" t="s">
        <v>2457</v>
      </c>
      <c r="B386" s="36" t="s">
        <v>2126</v>
      </c>
      <c r="C386" s="36" t="s">
        <v>2310</v>
      </c>
      <c r="D386" s="36" t="s">
        <v>2458</v>
      </c>
      <c r="E386" s="182" t="s">
        <v>2463</v>
      </c>
      <c r="F386" s="183" t="s">
        <v>2464</v>
      </c>
      <c r="G386" s="61">
        <v>9.85688143E8</v>
      </c>
      <c r="H386" s="40">
        <v>3028.0</v>
      </c>
      <c r="I386" s="40"/>
      <c r="J386" s="40" t="s">
        <v>1226</v>
      </c>
      <c r="K386" s="184" t="s">
        <v>2465</v>
      </c>
      <c r="L386" s="42" t="s">
        <v>74</v>
      </c>
      <c r="M386" s="58" t="s">
        <v>2338</v>
      </c>
      <c r="N386" s="43" t="s">
        <v>2133</v>
      </c>
      <c r="O386" s="42">
        <v>9.14383274E8</v>
      </c>
      <c r="P386" s="45" t="s">
        <v>67</v>
      </c>
      <c r="Q386" s="45" t="s">
        <v>67</v>
      </c>
      <c r="R386" s="46"/>
      <c r="S386" s="45" t="s">
        <v>74</v>
      </c>
      <c r="T386" s="58" t="s">
        <v>2466</v>
      </c>
      <c r="U386" s="45"/>
      <c r="V386" s="45"/>
      <c r="W386" s="63" t="s">
        <v>2467</v>
      </c>
      <c r="X386" s="49" t="s">
        <v>205</v>
      </c>
      <c r="Y386" s="49"/>
      <c r="Z386" s="40" t="s">
        <v>2356</v>
      </c>
      <c r="AA386" s="45" t="s">
        <v>74</v>
      </c>
      <c r="AB386" s="45" t="s">
        <v>67</v>
      </c>
      <c r="AC386" s="45"/>
      <c r="AD386" s="51" t="s">
        <v>76</v>
      </c>
      <c r="AE386" s="54"/>
      <c r="AF386" s="45"/>
      <c r="AG386" s="45"/>
      <c r="AH386" s="45">
        <v>0.0</v>
      </c>
      <c r="AI386" s="45"/>
      <c r="AJ386" s="45"/>
      <c r="AK386" s="45"/>
      <c r="AL386" s="45"/>
      <c r="AM386" s="45"/>
      <c r="AN386" s="45">
        <v>0.0</v>
      </c>
      <c r="AO386" s="55"/>
      <c r="AP386" s="54"/>
      <c r="AQ386" s="54"/>
      <c r="AR386" s="54"/>
      <c r="AS386" s="54"/>
      <c r="AT386" s="54"/>
    </row>
    <row r="387">
      <c r="A387" s="35" t="s">
        <v>2457</v>
      </c>
      <c r="B387" s="36" t="s">
        <v>2126</v>
      </c>
      <c r="C387" s="36" t="s">
        <v>2310</v>
      </c>
      <c r="D387" s="36" t="s">
        <v>2458</v>
      </c>
      <c r="E387" s="62" t="s">
        <v>2468</v>
      </c>
      <c r="F387" s="38" t="s">
        <v>2469</v>
      </c>
      <c r="G387" s="61">
        <v>9.76509847E8</v>
      </c>
      <c r="H387" s="40">
        <v>3029.0</v>
      </c>
      <c r="I387" s="40"/>
      <c r="J387" s="40" t="s">
        <v>1226</v>
      </c>
      <c r="K387" s="184" t="s">
        <v>2470</v>
      </c>
      <c r="L387" s="42" t="s">
        <v>74</v>
      </c>
      <c r="M387" s="43"/>
      <c r="N387" s="43"/>
      <c r="O387" s="42"/>
      <c r="P387" s="45"/>
      <c r="Q387" s="45"/>
      <c r="R387" s="46"/>
      <c r="S387" s="45" t="s">
        <v>74</v>
      </c>
      <c r="T387" s="58" t="s">
        <v>2466</v>
      </c>
      <c r="U387" s="45"/>
      <c r="V387" s="45"/>
      <c r="W387" s="63" t="s">
        <v>2467</v>
      </c>
      <c r="X387" s="49" t="s">
        <v>205</v>
      </c>
      <c r="Y387" s="49"/>
      <c r="Z387" s="40" t="s">
        <v>2356</v>
      </c>
      <c r="AA387" s="45" t="s">
        <v>74</v>
      </c>
      <c r="AB387" s="45" t="s">
        <v>67</v>
      </c>
      <c r="AC387" s="45"/>
      <c r="AD387" s="51" t="s">
        <v>76</v>
      </c>
      <c r="AE387" s="54"/>
      <c r="AF387" s="45"/>
      <c r="AG387" s="45"/>
      <c r="AH387" s="45">
        <v>0.0</v>
      </c>
      <c r="AI387" s="45"/>
      <c r="AJ387" s="45"/>
      <c r="AK387" s="45"/>
      <c r="AL387" s="45"/>
      <c r="AM387" s="45"/>
      <c r="AN387" s="45">
        <v>0.0</v>
      </c>
      <c r="AO387" s="55"/>
      <c r="AP387" s="54"/>
      <c r="AQ387" s="54"/>
      <c r="AR387" s="54"/>
      <c r="AS387" s="54"/>
      <c r="AT387" s="54"/>
    </row>
    <row r="388">
      <c r="A388" s="35" t="s">
        <v>2471</v>
      </c>
      <c r="B388" s="36" t="s">
        <v>2126</v>
      </c>
      <c r="C388" s="36" t="s">
        <v>2136</v>
      </c>
      <c r="D388" s="36" t="s">
        <v>2472</v>
      </c>
      <c r="E388" s="62" t="s">
        <v>2473</v>
      </c>
      <c r="F388" s="38" t="s">
        <v>2474</v>
      </c>
      <c r="G388" s="61">
        <v>9.29661212E8</v>
      </c>
      <c r="H388" s="40">
        <v>2892.0</v>
      </c>
      <c r="I388" s="40">
        <v>785.0</v>
      </c>
      <c r="J388" s="40" t="s">
        <v>65</v>
      </c>
      <c r="K388" s="42" t="s">
        <v>2475</v>
      </c>
      <c r="L388" s="42" t="s">
        <v>74</v>
      </c>
      <c r="M388" s="43" t="s">
        <v>2132</v>
      </c>
      <c r="N388" s="43" t="s">
        <v>2133</v>
      </c>
      <c r="O388" s="42">
        <v>9.14383274E8</v>
      </c>
      <c r="P388" s="45" t="s">
        <v>67</v>
      </c>
      <c r="Q388" s="45" t="s">
        <v>67</v>
      </c>
      <c r="R388" s="46">
        <v>1.0</v>
      </c>
      <c r="S388" s="45" t="s">
        <v>67</v>
      </c>
      <c r="T388" s="64"/>
      <c r="U388" s="45"/>
      <c r="V388" s="45" t="s">
        <v>1016</v>
      </c>
      <c r="W388" s="68">
        <v>46133.0</v>
      </c>
      <c r="X388" s="49" t="s">
        <v>2476</v>
      </c>
      <c r="Y388" s="49" t="s">
        <v>2477</v>
      </c>
      <c r="Z388" s="40" t="s">
        <v>2356</v>
      </c>
      <c r="AA388" s="45" t="s">
        <v>74</v>
      </c>
      <c r="AB388" s="45" t="s">
        <v>67</v>
      </c>
      <c r="AC388" s="45" t="s">
        <v>620</v>
      </c>
      <c r="AD388" s="51" t="s">
        <v>76</v>
      </c>
      <c r="AE388" s="54"/>
      <c r="AF388" s="45" t="s">
        <v>67</v>
      </c>
      <c r="AG388" s="45"/>
      <c r="AH388" s="45">
        <v>40.0</v>
      </c>
      <c r="AI388" s="45"/>
      <c r="AJ388" s="45"/>
      <c r="AK388" s="45"/>
      <c r="AL388" s="45"/>
      <c r="AM388" s="45"/>
      <c r="AN388" s="45">
        <v>0.0</v>
      </c>
      <c r="AO388" s="55"/>
      <c r="AP388" s="54"/>
      <c r="AQ388" s="54"/>
      <c r="AR388" s="54"/>
      <c r="AS388" s="54"/>
      <c r="AT388" s="54"/>
    </row>
    <row r="389">
      <c r="A389" s="35" t="s">
        <v>2471</v>
      </c>
      <c r="B389" s="36" t="s">
        <v>2126</v>
      </c>
      <c r="C389" s="36" t="s">
        <v>2136</v>
      </c>
      <c r="D389" s="36" t="s">
        <v>2472</v>
      </c>
      <c r="E389" s="62" t="s">
        <v>2478</v>
      </c>
      <c r="F389" s="38" t="s">
        <v>2479</v>
      </c>
      <c r="G389" s="61">
        <v>9.0759276E8</v>
      </c>
      <c r="H389" s="40">
        <v>2963.0</v>
      </c>
      <c r="I389" s="40">
        <v>1205.0</v>
      </c>
      <c r="J389" s="40" t="s">
        <v>65</v>
      </c>
      <c r="K389" s="41" t="s">
        <v>2480</v>
      </c>
      <c r="L389" s="42" t="s">
        <v>67</v>
      </c>
      <c r="M389" s="43" t="s">
        <v>2132</v>
      </c>
      <c r="N389" s="43" t="s">
        <v>2133</v>
      </c>
      <c r="O389" s="42">
        <v>9.14383274E8</v>
      </c>
      <c r="P389" s="45" t="s">
        <v>67</v>
      </c>
      <c r="Q389" s="45" t="s">
        <v>67</v>
      </c>
      <c r="R389" s="46">
        <v>1.0</v>
      </c>
      <c r="S389" s="45" t="s">
        <v>67</v>
      </c>
      <c r="T389" s="64"/>
      <c r="U389" s="45"/>
      <c r="V389" s="45" t="s">
        <v>1016</v>
      </c>
      <c r="W389" s="68">
        <v>46133.0</v>
      </c>
      <c r="X389" s="49" t="s">
        <v>2476</v>
      </c>
      <c r="Y389" s="49" t="s">
        <v>2477</v>
      </c>
      <c r="Z389" s="40" t="s">
        <v>2356</v>
      </c>
      <c r="AA389" s="45" t="s">
        <v>74</v>
      </c>
      <c r="AB389" s="45" t="s">
        <v>67</v>
      </c>
      <c r="AC389" s="45" t="s">
        <v>620</v>
      </c>
      <c r="AD389" s="51" t="s">
        <v>76</v>
      </c>
      <c r="AE389" s="54"/>
      <c r="AF389" s="45" t="s">
        <v>67</v>
      </c>
      <c r="AG389" s="45"/>
      <c r="AH389" s="45">
        <v>40.0</v>
      </c>
      <c r="AI389" s="45"/>
      <c r="AJ389" s="45"/>
      <c r="AK389" s="45"/>
      <c r="AL389" s="45"/>
      <c r="AM389" s="45"/>
      <c r="AN389" s="45">
        <v>0.0</v>
      </c>
      <c r="AO389" s="55"/>
      <c r="AP389" s="54"/>
      <c r="AQ389" s="54"/>
      <c r="AR389" s="54"/>
      <c r="AS389" s="54"/>
      <c r="AT389" s="54"/>
    </row>
    <row r="390">
      <c r="A390" s="35" t="s">
        <v>2481</v>
      </c>
      <c r="B390" s="36" t="s">
        <v>2126</v>
      </c>
      <c r="C390" s="36" t="s">
        <v>2303</v>
      </c>
      <c r="D390" s="36" t="s">
        <v>2482</v>
      </c>
      <c r="E390" s="62" t="s">
        <v>2483</v>
      </c>
      <c r="F390" s="38" t="s">
        <v>2484</v>
      </c>
      <c r="G390" s="61">
        <v>9.3145686E8</v>
      </c>
      <c r="H390" s="40">
        <v>2883.0</v>
      </c>
      <c r="I390" s="40">
        <v>776.0</v>
      </c>
      <c r="J390" s="40" t="s">
        <v>65</v>
      </c>
      <c r="K390" s="42" t="s">
        <v>2485</v>
      </c>
      <c r="L390" s="42" t="s">
        <v>67</v>
      </c>
      <c r="M390" s="43" t="s">
        <v>2132</v>
      </c>
      <c r="N390" s="43" t="s">
        <v>2133</v>
      </c>
      <c r="O390" s="42">
        <v>9.14383274E8</v>
      </c>
      <c r="P390" s="45" t="s">
        <v>67</v>
      </c>
      <c r="Q390" s="45" t="s">
        <v>67</v>
      </c>
      <c r="R390" s="46">
        <v>3.0</v>
      </c>
      <c r="S390" s="45" t="s">
        <v>67</v>
      </c>
      <c r="T390" s="64"/>
      <c r="U390" s="45"/>
      <c r="V390" s="45" t="s">
        <v>608</v>
      </c>
      <c r="W390" s="68">
        <v>46133.0</v>
      </c>
      <c r="X390" s="49" t="s">
        <v>2486</v>
      </c>
      <c r="Y390" s="49" t="s">
        <v>1240</v>
      </c>
      <c r="Z390" s="40" t="s">
        <v>2356</v>
      </c>
      <c r="AA390" s="45" t="s">
        <v>74</v>
      </c>
      <c r="AB390" s="45" t="s">
        <v>67</v>
      </c>
      <c r="AC390" s="45" t="s">
        <v>2487</v>
      </c>
      <c r="AD390" s="51" t="s">
        <v>76</v>
      </c>
      <c r="AE390" s="54"/>
      <c r="AF390" s="45" t="s">
        <v>67</v>
      </c>
      <c r="AG390" s="45"/>
      <c r="AH390" s="45">
        <v>15.0</v>
      </c>
      <c r="AI390" s="45"/>
      <c r="AJ390" s="45"/>
      <c r="AK390" s="45"/>
      <c r="AL390" s="45"/>
      <c r="AM390" s="45"/>
      <c r="AN390" s="45">
        <v>0.0</v>
      </c>
      <c r="AO390" s="55"/>
      <c r="AP390" s="54"/>
      <c r="AQ390" s="54"/>
      <c r="AR390" s="54"/>
      <c r="AS390" s="54"/>
      <c r="AT390" s="54"/>
    </row>
    <row r="391">
      <c r="A391" s="35" t="s">
        <v>2481</v>
      </c>
      <c r="B391" s="36" t="s">
        <v>2126</v>
      </c>
      <c r="C391" s="36" t="s">
        <v>2303</v>
      </c>
      <c r="D391" s="36" t="s">
        <v>2482</v>
      </c>
      <c r="E391" s="62" t="s">
        <v>2488</v>
      </c>
      <c r="F391" s="38" t="s">
        <v>2489</v>
      </c>
      <c r="G391" s="61">
        <v>9.93975749E8</v>
      </c>
      <c r="H391" s="40"/>
      <c r="I391" s="40"/>
      <c r="J391" s="40" t="s">
        <v>224</v>
      </c>
      <c r="K391" s="41" t="s">
        <v>2490</v>
      </c>
      <c r="L391" s="42" t="s">
        <v>67</v>
      </c>
      <c r="M391" s="43" t="s">
        <v>2132</v>
      </c>
      <c r="N391" s="43" t="s">
        <v>2133</v>
      </c>
      <c r="O391" s="42">
        <v>9.14383274E8</v>
      </c>
      <c r="P391" s="45" t="s">
        <v>67</v>
      </c>
      <c r="Q391" s="45" t="s">
        <v>67</v>
      </c>
      <c r="R391" s="46">
        <v>3.0</v>
      </c>
      <c r="S391" s="45" t="s">
        <v>67</v>
      </c>
      <c r="T391" s="64"/>
      <c r="U391" s="45"/>
      <c r="V391" s="45"/>
      <c r="W391" s="68">
        <v>46133.0</v>
      </c>
      <c r="X391" s="49" t="s">
        <v>2486</v>
      </c>
      <c r="Y391" s="49" t="s">
        <v>1240</v>
      </c>
      <c r="Z391" s="40" t="s">
        <v>2356</v>
      </c>
      <c r="AA391" s="45" t="s">
        <v>74</v>
      </c>
      <c r="AB391" s="45" t="s">
        <v>67</v>
      </c>
      <c r="AC391" s="45" t="s">
        <v>2487</v>
      </c>
      <c r="AD391" s="51" t="s">
        <v>76</v>
      </c>
      <c r="AE391" s="54"/>
      <c r="AF391" s="45" t="s">
        <v>67</v>
      </c>
      <c r="AG391" s="45"/>
      <c r="AH391" s="45">
        <v>15.0</v>
      </c>
      <c r="AI391" s="45"/>
      <c r="AJ391" s="45"/>
      <c r="AK391" s="45"/>
      <c r="AL391" s="45"/>
      <c r="AM391" s="45"/>
      <c r="AN391" s="45">
        <v>0.0</v>
      </c>
      <c r="AO391" s="55"/>
      <c r="AP391" s="54"/>
      <c r="AQ391" s="54"/>
      <c r="AR391" s="54"/>
      <c r="AS391" s="54"/>
      <c r="AT391" s="54"/>
    </row>
    <row r="392">
      <c r="A392" s="35" t="s">
        <v>2491</v>
      </c>
      <c r="B392" s="36" t="s">
        <v>2492</v>
      </c>
      <c r="C392" s="36" t="s">
        <v>2493</v>
      </c>
      <c r="D392" s="36" t="s">
        <v>2494</v>
      </c>
      <c r="E392" s="62" t="s">
        <v>2495</v>
      </c>
      <c r="F392" s="38" t="s">
        <v>2496</v>
      </c>
      <c r="G392" s="61">
        <v>9.50781009E8</v>
      </c>
      <c r="H392" s="40">
        <v>2914.0</v>
      </c>
      <c r="I392" s="40">
        <v>1180.0</v>
      </c>
      <c r="J392" s="40" t="s">
        <v>65</v>
      </c>
      <c r="K392" s="41" t="s">
        <v>2497</v>
      </c>
      <c r="L392" s="42" t="s">
        <v>67</v>
      </c>
      <c r="M392" s="41" t="s">
        <v>1147</v>
      </c>
      <c r="N392" s="43" t="s">
        <v>1148</v>
      </c>
      <c r="O392" s="44" t="s">
        <v>1149</v>
      </c>
      <c r="P392" s="45"/>
      <c r="Q392" s="45" t="s">
        <v>67</v>
      </c>
      <c r="R392" s="46">
        <v>6.0</v>
      </c>
      <c r="S392" s="45" t="s">
        <v>67</v>
      </c>
      <c r="T392" s="64"/>
      <c r="U392" s="45"/>
      <c r="V392" s="45" t="s">
        <v>1016</v>
      </c>
      <c r="W392" s="63" t="s">
        <v>2498</v>
      </c>
      <c r="X392" s="49" t="s">
        <v>2499</v>
      </c>
      <c r="Y392" s="49"/>
      <c r="Z392" s="40" t="s">
        <v>2356</v>
      </c>
      <c r="AA392" s="45" t="s">
        <v>74</v>
      </c>
      <c r="AB392" s="45" t="s">
        <v>67</v>
      </c>
      <c r="AC392" s="45" t="s">
        <v>475</v>
      </c>
      <c r="AD392" s="51" t="s">
        <v>76</v>
      </c>
      <c r="AE392" s="54"/>
      <c r="AF392" s="45" t="s">
        <v>67</v>
      </c>
      <c r="AG392" s="45"/>
      <c r="AH392" s="45">
        <v>20.0</v>
      </c>
      <c r="AI392" s="45"/>
      <c r="AJ392" s="45"/>
      <c r="AK392" s="45"/>
      <c r="AL392" s="45"/>
      <c r="AM392" s="45"/>
      <c r="AN392" s="45">
        <v>0.0</v>
      </c>
      <c r="AO392" s="55"/>
      <c r="AP392" s="54"/>
      <c r="AQ392" s="54"/>
      <c r="AR392" s="54"/>
      <c r="AS392" s="54"/>
      <c r="AT392" s="54"/>
    </row>
    <row r="393">
      <c r="A393" s="35" t="s">
        <v>2491</v>
      </c>
      <c r="B393" s="36" t="s">
        <v>2492</v>
      </c>
      <c r="C393" s="36" t="s">
        <v>2493</v>
      </c>
      <c r="D393" s="36" t="s">
        <v>2494</v>
      </c>
      <c r="E393" s="62" t="s">
        <v>2500</v>
      </c>
      <c r="F393" s="38" t="s">
        <v>2501</v>
      </c>
      <c r="G393" s="161"/>
      <c r="H393" s="162"/>
      <c r="I393" s="162"/>
      <c r="J393" s="40" t="s">
        <v>224</v>
      </c>
      <c r="K393" s="42" t="s">
        <v>2502</v>
      </c>
      <c r="L393" s="42" t="s">
        <v>67</v>
      </c>
      <c r="M393" s="41" t="s">
        <v>1147</v>
      </c>
      <c r="N393" s="43" t="s">
        <v>1148</v>
      </c>
      <c r="O393" s="44" t="s">
        <v>1149</v>
      </c>
      <c r="P393" s="45"/>
      <c r="Q393" s="45" t="s">
        <v>67</v>
      </c>
      <c r="R393" s="46">
        <v>6.0</v>
      </c>
      <c r="S393" s="45" t="s">
        <v>67</v>
      </c>
      <c r="T393" s="64"/>
      <c r="U393" s="45"/>
      <c r="V393" s="45" t="s">
        <v>1016</v>
      </c>
      <c r="W393" s="68">
        <v>46133.0</v>
      </c>
      <c r="X393" s="49" t="s">
        <v>2499</v>
      </c>
      <c r="Y393" s="49"/>
      <c r="Z393" s="40" t="s">
        <v>2356</v>
      </c>
      <c r="AA393" s="45" t="s">
        <v>74</v>
      </c>
      <c r="AB393" s="45" t="s">
        <v>67</v>
      </c>
      <c r="AC393" s="45" t="s">
        <v>475</v>
      </c>
      <c r="AD393" s="51" t="s">
        <v>76</v>
      </c>
      <c r="AE393" s="54"/>
      <c r="AF393" s="45" t="s">
        <v>67</v>
      </c>
      <c r="AG393" s="45"/>
      <c r="AH393" s="45">
        <v>20.0</v>
      </c>
      <c r="AI393" s="45"/>
      <c r="AJ393" s="45"/>
      <c r="AK393" s="45"/>
      <c r="AL393" s="45"/>
      <c r="AM393" s="45"/>
      <c r="AN393" s="45">
        <v>0.0</v>
      </c>
      <c r="AO393" s="55"/>
      <c r="AP393" s="54"/>
      <c r="AQ393" s="54"/>
      <c r="AR393" s="54"/>
      <c r="AS393" s="54"/>
      <c r="AT393" s="54"/>
    </row>
    <row r="394">
      <c r="A394" s="35" t="s">
        <v>2503</v>
      </c>
      <c r="B394" s="36" t="s">
        <v>2492</v>
      </c>
      <c r="C394" s="36" t="s">
        <v>2504</v>
      </c>
      <c r="D394" s="36" t="s">
        <v>2505</v>
      </c>
      <c r="E394" s="62" t="s">
        <v>208</v>
      </c>
      <c r="F394" s="38"/>
      <c r="G394" s="61"/>
      <c r="H394" s="40"/>
      <c r="I394" s="40"/>
      <c r="J394" s="40" t="s">
        <v>149</v>
      </c>
      <c r="K394" s="41" t="s">
        <v>2506</v>
      </c>
      <c r="L394" s="42" t="s">
        <v>67</v>
      </c>
      <c r="M394" s="53" t="s">
        <v>2507</v>
      </c>
      <c r="N394" s="43" t="s">
        <v>2508</v>
      </c>
      <c r="O394" s="59">
        <v>9.86991984E8</v>
      </c>
      <c r="P394" s="45" t="s">
        <v>67</v>
      </c>
      <c r="Q394" s="45" t="s">
        <v>67</v>
      </c>
      <c r="R394" s="46">
        <v>1.0</v>
      </c>
      <c r="S394" s="45" t="s">
        <v>74</v>
      </c>
      <c r="T394" s="58" t="s">
        <v>2466</v>
      </c>
      <c r="U394" s="45"/>
      <c r="V394" s="45" t="s">
        <v>1016</v>
      </c>
      <c r="W394" s="63" t="s">
        <v>2509</v>
      </c>
      <c r="X394" s="49" t="s">
        <v>205</v>
      </c>
      <c r="Y394" s="49"/>
      <c r="Z394" s="40" t="s">
        <v>2356</v>
      </c>
      <c r="AA394" s="45" t="s">
        <v>74</v>
      </c>
      <c r="AB394" s="45" t="s">
        <v>67</v>
      </c>
      <c r="AC394" s="45"/>
      <c r="AD394" s="51" t="s">
        <v>76</v>
      </c>
      <c r="AE394" s="54"/>
      <c r="AF394" s="45"/>
      <c r="AG394" s="45"/>
      <c r="AH394" s="45">
        <v>0.0</v>
      </c>
      <c r="AI394" s="45"/>
      <c r="AJ394" s="45"/>
      <c r="AK394" s="45"/>
      <c r="AL394" s="45"/>
      <c r="AM394" s="45"/>
      <c r="AN394" s="45">
        <v>0.0</v>
      </c>
      <c r="AO394" s="55"/>
      <c r="AP394" s="54"/>
      <c r="AQ394" s="54"/>
      <c r="AR394" s="54"/>
      <c r="AS394" s="54"/>
      <c r="AT394" s="54"/>
    </row>
    <row r="395">
      <c r="A395" s="35" t="s">
        <v>2510</v>
      </c>
      <c r="B395" s="36" t="s">
        <v>2492</v>
      </c>
      <c r="C395" s="36" t="s">
        <v>2511</v>
      </c>
      <c r="D395" s="36" t="s">
        <v>2511</v>
      </c>
      <c r="E395" s="62" t="s">
        <v>2512</v>
      </c>
      <c r="F395" s="38" t="s">
        <v>2513</v>
      </c>
      <c r="G395" s="61">
        <v>9.4224544E8</v>
      </c>
      <c r="H395" s="40">
        <v>2916.0</v>
      </c>
      <c r="I395" s="40">
        <v>1182.0</v>
      </c>
      <c r="J395" s="40" t="s">
        <v>65</v>
      </c>
      <c r="K395" s="41" t="s">
        <v>2514</v>
      </c>
      <c r="L395" s="42" t="s">
        <v>67</v>
      </c>
      <c r="M395" s="53" t="s">
        <v>2515</v>
      </c>
      <c r="N395" s="43" t="s">
        <v>2516</v>
      </c>
      <c r="O395" s="44">
        <v>0.0</v>
      </c>
      <c r="P395" s="45" t="s">
        <v>67</v>
      </c>
      <c r="Q395" s="45" t="s">
        <v>67</v>
      </c>
      <c r="R395" s="46">
        <v>1.0</v>
      </c>
      <c r="S395" s="45" t="s">
        <v>67</v>
      </c>
      <c r="T395" s="65">
        <v>46133.0</v>
      </c>
      <c r="U395" s="45"/>
      <c r="V395" s="45" t="s">
        <v>1016</v>
      </c>
      <c r="W395" s="68">
        <v>46133.0</v>
      </c>
      <c r="X395" s="49" t="s">
        <v>2517</v>
      </c>
      <c r="Y395" s="49" t="s">
        <v>1260</v>
      </c>
      <c r="Z395" s="40" t="s">
        <v>2356</v>
      </c>
      <c r="AA395" s="45" t="s">
        <v>74</v>
      </c>
      <c r="AB395" s="45" t="s">
        <v>67</v>
      </c>
      <c r="AC395" s="45" t="s">
        <v>475</v>
      </c>
      <c r="AD395" s="51" t="s">
        <v>76</v>
      </c>
      <c r="AE395" s="54"/>
      <c r="AF395" s="45" t="s">
        <v>67</v>
      </c>
      <c r="AG395" s="45"/>
      <c r="AH395" s="45">
        <v>10.0</v>
      </c>
      <c r="AI395" s="45"/>
      <c r="AJ395" s="45"/>
      <c r="AK395" s="45"/>
      <c r="AL395" s="45"/>
      <c r="AM395" s="45"/>
      <c r="AN395" s="45">
        <v>0.0</v>
      </c>
      <c r="AO395" s="55"/>
      <c r="AP395" s="54"/>
      <c r="AQ395" s="54"/>
      <c r="AR395" s="54"/>
      <c r="AS395" s="54"/>
      <c r="AT395" s="54"/>
    </row>
    <row r="396">
      <c r="A396" s="35" t="s">
        <v>2510</v>
      </c>
      <c r="B396" s="36" t="s">
        <v>2492</v>
      </c>
      <c r="C396" s="36" t="s">
        <v>2511</v>
      </c>
      <c r="D396" s="36" t="s">
        <v>2511</v>
      </c>
      <c r="E396" s="62" t="s">
        <v>2518</v>
      </c>
      <c r="F396" s="38" t="s">
        <v>2519</v>
      </c>
      <c r="G396" s="61">
        <v>9.50909092E8</v>
      </c>
      <c r="H396" s="40">
        <v>2915.0</v>
      </c>
      <c r="I396" s="40">
        <v>1181.0</v>
      </c>
      <c r="J396" s="40" t="s">
        <v>65</v>
      </c>
      <c r="K396" s="42" t="s">
        <v>2520</v>
      </c>
      <c r="L396" s="42" t="s">
        <v>67</v>
      </c>
      <c r="M396" s="53" t="s">
        <v>2515</v>
      </c>
      <c r="N396" s="43" t="s">
        <v>2516</v>
      </c>
      <c r="O396" s="44">
        <v>0.0</v>
      </c>
      <c r="P396" s="45" t="s">
        <v>67</v>
      </c>
      <c r="Q396" s="45" t="s">
        <v>67</v>
      </c>
      <c r="R396" s="46">
        <v>1.0</v>
      </c>
      <c r="S396" s="45" t="s">
        <v>67</v>
      </c>
      <c r="T396" s="65">
        <v>46133.0</v>
      </c>
      <c r="U396" s="45"/>
      <c r="V396" s="45" t="s">
        <v>1016</v>
      </c>
      <c r="W396" s="68">
        <v>46133.0</v>
      </c>
      <c r="X396" s="49" t="s">
        <v>2517</v>
      </c>
      <c r="Y396" s="49" t="s">
        <v>1260</v>
      </c>
      <c r="Z396" s="40" t="s">
        <v>2356</v>
      </c>
      <c r="AA396" s="45" t="s">
        <v>74</v>
      </c>
      <c r="AB396" s="45" t="s">
        <v>67</v>
      </c>
      <c r="AC396" s="45" t="s">
        <v>475</v>
      </c>
      <c r="AD396" s="51" t="s">
        <v>76</v>
      </c>
      <c r="AE396" s="54"/>
      <c r="AF396" s="45" t="s">
        <v>67</v>
      </c>
      <c r="AG396" s="45"/>
      <c r="AH396" s="45">
        <v>10.0</v>
      </c>
      <c r="AI396" s="45"/>
      <c r="AJ396" s="45"/>
      <c r="AK396" s="45"/>
      <c r="AL396" s="45"/>
      <c r="AM396" s="45"/>
      <c r="AN396" s="45">
        <v>0.0</v>
      </c>
      <c r="AO396" s="55"/>
      <c r="AP396" s="54"/>
      <c r="AQ396" s="54"/>
      <c r="AR396" s="54"/>
      <c r="AS396" s="54"/>
      <c r="AT396" s="54"/>
    </row>
    <row r="397">
      <c r="A397" s="35" t="s">
        <v>2521</v>
      </c>
      <c r="B397" s="36" t="s">
        <v>2522</v>
      </c>
      <c r="C397" s="36" t="s">
        <v>2523</v>
      </c>
      <c r="D397" s="36" t="s">
        <v>2524</v>
      </c>
      <c r="E397" s="62" t="s">
        <v>2525</v>
      </c>
      <c r="F397" s="38" t="s">
        <v>2526</v>
      </c>
      <c r="G397" s="61"/>
      <c r="H397" s="40"/>
      <c r="I397" s="40"/>
      <c r="J397" s="40" t="s">
        <v>224</v>
      </c>
      <c r="K397" s="41" t="s">
        <v>2527</v>
      </c>
      <c r="L397" s="42" t="s">
        <v>67</v>
      </c>
      <c r="M397" s="41" t="s">
        <v>685</v>
      </c>
      <c r="N397" s="43" t="s">
        <v>686</v>
      </c>
      <c r="O397" s="44" t="s">
        <v>687</v>
      </c>
      <c r="P397" s="45"/>
      <c r="Q397" s="45" t="s">
        <v>67</v>
      </c>
      <c r="R397" s="46">
        <v>2.0</v>
      </c>
      <c r="S397" s="45" t="s">
        <v>226</v>
      </c>
      <c r="T397" s="58"/>
      <c r="U397" s="45" t="s">
        <v>67</v>
      </c>
      <c r="V397" s="45" t="s">
        <v>1042</v>
      </c>
      <c r="W397" s="68">
        <v>46133.0</v>
      </c>
      <c r="X397" s="49" t="s">
        <v>2528</v>
      </c>
      <c r="Y397" s="49" t="s">
        <v>870</v>
      </c>
      <c r="Z397" s="40" t="s">
        <v>2356</v>
      </c>
      <c r="AA397" s="45" t="s">
        <v>67</v>
      </c>
      <c r="AB397" s="45" t="s">
        <v>67</v>
      </c>
      <c r="AC397" s="45" t="s">
        <v>475</v>
      </c>
      <c r="AD397" s="51" t="s">
        <v>76</v>
      </c>
      <c r="AE397" s="54"/>
      <c r="AF397" s="45" t="s">
        <v>67</v>
      </c>
      <c r="AG397" s="45"/>
      <c r="AH397" s="45">
        <v>15.0</v>
      </c>
      <c r="AI397" s="45"/>
      <c r="AJ397" s="45"/>
      <c r="AK397" s="45"/>
      <c r="AL397" s="45"/>
      <c r="AM397" s="45"/>
      <c r="AN397" s="45">
        <v>0.0</v>
      </c>
      <c r="AO397" s="55"/>
      <c r="AP397" s="54"/>
      <c r="AQ397" s="54"/>
      <c r="AR397" s="54"/>
      <c r="AS397" s="54"/>
      <c r="AT397" s="54"/>
    </row>
    <row r="398">
      <c r="A398" s="35" t="s">
        <v>2529</v>
      </c>
      <c r="B398" s="36" t="s">
        <v>2522</v>
      </c>
      <c r="C398" s="36" t="s">
        <v>2530</v>
      </c>
      <c r="D398" s="36" t="s">
        <v>2531</v>
      </c>
      <c r="E398" s="62" t="s">
        <v>2532</v>
      </c>
      <c r="F398" s="38" t="s">
        <v>2533</v>
      </c>
      <c r="G398" s="61">
        <v>9.44032062E8</v>
      </c>
      <c r="H398" s="40">
        <v>2986.0</v>
      </c>
      <c r="I398" s="40">
        <v>1097.0</v>
      </c>
      <c r="J398" s="40" t="s">
        <v>65</v>
      </c>
      <c r="K398" s="42" t="s">
        <v>2534</v>
      </c>
      <c r="L398" s="42" t="s">
        <v>67</v>
      </c>
      <c r="M398" s="41" t="s">
        <v>685</v>
      </c>
      <c r="N398" s="43" t="s">
        <v>686</v>
      </c>
      <c r="O398" s="44" t="s">
        <v>687</v>
      </c>
      <c r="P398" s="45"/>
      <c r="Q398" s="45" t="s">
        <v>67</v>
      </c>
      <c r="R398" s="46">
        <v>1.0</v>
      </c>
      <c r="S398" s="45" t="s">
        <v>67</v>
      </c>
      <c r="T398" s="64"/>
      <c r="U398" s="45"/>
      <c r="V398" s="45" t="s">
        <v>1016</v>
      </c>
      <c r="W398" s="63" t="s">
        <v>2535</v>
      </c>
      <c r="X398" s="49" t="s">
        <v>2536</v>
      </c>
      <c r="Y398" s="49"/>
      <c r="Z398" s="40" t="s">
        <v>2356</v>
      </c>
      <c r="AA398" s="45" t="s">
        <v>74</v>
      </c>
      <c r="AB398" s="45" t="s">
        <v>67</v>
      </c>
      <c r="AC398" s="45" t="s">
        <v>96</v>
      </c>
      <c r="AD398" s="51" t="s">
        <v>76</v>
      </c>
      <c r="AE398" s="54"/>
      <c r="AF398" s="45" t="s">
        <v>67</v>
      </c>
      <c r="AG398" s="45"/>
      <c r="AH398" s="45">
        <v>20.0</v>
      </c>
      <c r="AI398" s="45"/>
      <c r="AJ398" s="45"/>
      <c r="AK398" s="45"/>
      <c r="AL398" s="45"/>
      <c r="AM398" s="45"/>
      <c r="AN398" s="45">
        <v>0.0</v>
      </c>
      <c r="AO398" s="55"/>
      <c r="AP398" s="54"/>
      <c r="AR398" s="54"/>
      <c r="AS398" s="54"/>
      <c r="AT398" s="54"/>
    </row>
    <row r="399">
      <c r="A399" s="35" t="s">
        <v>2537</v>
      </c>
      <c r="B399" s="36" t="s">
        <v>2522</v>
      </c>
      <c r="C399" s="36" t="s">
        <v>2530</v>
      </c>
      <c r="D399" s="36" t="s">
        <v>2538</v>
      </c>
      <c r="E399" s="62" t="s">
        <v>2539</v>
      </c>
      <c r="F399" s="38" t="s">
        <v>2540</v>
      </c>
      <c r="G399" s="61">
        <v>9.65080907E8</v>
      </c>
      <c r="H399" s="40">
        <v>2988.0</v>
      </c>
      <c r="I399" s="40">
        <v>1099.0</v>
      </c>
      <c r="J399" s="40" t="s">
        <v>65</v>
      </c>
      <c r="K399" s="41" t="s">
        <v>2541</v>
      </c>
      <c r="L399" s="42" t="s">
        <v>74</v>
      </c>
      <c r="M399" s="41" t="s">
        <v>685</v>
      </c>
      <c r="N399" s="43" t="s">
        <v>686</v>
      </c>
      <c r="O399" s="44" t="s">
        <v>687</v>
      </c>
      <c r="P399" s="45"/>
      <c r="Q399" s="45" t="s">
        <v>67</v>
      </c>
      <c r="R399" s="46">
        <v>1.0</v>
      </c>
      <c r="S399" s="45" t="s">
        <v>67</v>
      </c>
      <c r="T399" s="64"/>
      <c r="U399" s="45"/>
      <c r="V399" s="45" t="s">
        <v>1016</v>
      </c>
      <c r="W399" s="181">
        <v>46133.0</v>
      </c>
      <c r="X399" s="49" t="s">
        <v>2542</v>
      </c>
      <c r="Y399" s="49" t="s">
        <v>2543</v>
      </c>
      <c r="Z399" s="40" t="s">
        <v>2356</v>
      </c>
      <c r="AA399" s="45" t="s">
        <v>74</v>
      </c>
      <c r="AB399" s="45" t="s">
        <v>67</v>
      </c>
      <c r="AC399" s="45" t="s">
        <v>125</v>
      </c>
      <c r="AD399" s="51" t="s">
        <v>76</v>
      </c>
      <c r="AE399" s="54"/>
      <c r="AF399" s="45" t="s">
        <v>67</v>
      </c>
      <c r="AG399" s="45"/>
      <c r="AH399" s="45">
        <v>0.0</v>
      </c>
      <c r="AI399" s="45"/>
      <c r="AJ399" s="45"/>
      <c r="AK399" s="45"/>
      <c r="AL399" s="45"/>
      <c r="AM399" s="45"/>
      <c r="AN399" s="45">
        <v>0.0</v>
      </c>
      <c r="AO399" s="55"/>
      <c r="AP399" s="54"/>
      <c r="AQ399" s="67" t="s">
        <v>2544</v>
      </c>
      <c r="AR399" s="54"/>
      <c r="AS399" s="54"/>
      <c r="AT399" s="54"/>
    </row>
    <row r="400">
      <c r="A400" s="35" t="s">
        <v>2537</v>
      </c>
      <c r="B400" s="36" t="s">
        <v>2522</v>
      </c>
      <c r="C400" s="36" t="s">
        <v>2530</v>
      </c>
      <c r="D400" s="36" t="s">
        <v>2538</v>
      </c>
      <c r="E400" s="62" t="s">
        <v>2545</v>
      </c>
      <c r="F400" s="38" t="s">
        <v>2546</v>
      </c>
      <c r="G400" s="61">
        <v>9.67667647E8</v>
      </c>
      <c r="H400" s="40">
        <v>2987.0</v>
      </c>
      <c r="I400" s="40">
        <v>1098.0</v>
      </c>
      <c r="J400" s="40" t="s">
        <v>65</v>
      </c>
      <c r="K400" s="41" t="s">
        <v>2547</v>
      </c>
      <c r="L400" s="42" t="s">
        <v>74</v>
      </c>
      <c r="M400" s="41" t="s">
        <v>685</v>
      </c>
      <c r="N400" s="43" t="s">
        <v>686</v>
      </c>
      <c r="O400" s="44" t="s">
        <v>687</v>
      </c>
      <c r="P400" s="45"/>
      <c r="Q400" s="45" t="s">
        <v>67</v>
      </c>
      <c r="R400" s="46">
        <v>1.0</v>
      </c>
      <c r="S400" s="45" t="s">
        <v>67</v>
      </c>
      <c r="T400" s="64"/>
      <c r="U400" s="45"/>
      <c r="V400" s="45" t="s">
        <v>1016</v>
      </c>
      <c r="W400" s="181">
        <v>46133.0</v>
      </c>
      <c r="X400" s="49" t="s">
        <v>2542</v>
      </c>
      <c r="Y400" s="49" t="s">
        <v>2543</v>
      </c>
      <c r="Z400" s="40" t="s">
        <v>2356</v>
      </c>
      <c r="AA400" s="45" t="s">
        <v>74</v>
      </c>
      <c r="AB400" s="45" t="s">
        <v>67</v>
      </c>
      <c r="AC400" s="45" t="s">
        <v>125</v>
      </c>
      <c r="AD400" s="51" t="s">
        <v>76</v>
      </c>
      <c r="AE400" s="54"/>
      <c r="AF400" s="45" t="s">
        <v>67</v>
      </c>
      <c r="AG400" s="45"/>
      <c r="AH400" s="45">
        <v>0.0</v>
      </c>
      <c r="AI400" s="45"/>
      <c r="AJ400" s="45"/>
      <c r="AK400" s="45"/>
      <c r="AL400" s="45"/>
      <c r="AM400" s="45"/>
      <c r="AN400" s="45">
        <v>0.0</v>
      </c>
      <c r="AO400" s="55"/>
      <c r="AP400" s="54"/>
      <c r="AQ400" s="67" t="s">
        <v>2544</v>
      </c>
      <c r="AR400" s="54"/>
      <c r="AS400" s="54"/>
      <c r="AT400" s="54"/>
    </row>
    <row r="401">
      <c r="A401" s="35" t="s">
        <v>2548</v>
      </c>
      <c r="B401" s="36" t="s">
        <v>2522</v>
      </c>
      <c r="C401" s="36" t="s">
        <v>2530</v>
      </c>
      <c r="D401" s="36" t="s">
        <v>2549</v>
      </c>
      <c r="E401" s="37" t="s">
        <v>2550</v>
      </c>
      <c r="F401" s="38" t="s">
        <v>2551</v>
      </c>
      <c r="G401" s="61">
        <v>9.12093068E8</v>
      </c>
      <c r="H401" s="40">
        <v>2989.0</v>
      </c>
      <c r="I401" s="40">
        <v>1100.0</v>
      </c>
      <c r="J401" s="40" t="s">
        <v>65</v>
      </c>
      <c r="K401" s="42" t="s">
        <v>2552</v>
      </c>
      <c r="L401" s="42" t="s">
        <v>67</v>
      </c>
      <c r="M401" s="41" t="s">
        <v>685</v>
      </c>
      <c r="N401" s="43" t="s">
        <v>686</v>
      </c>
      <c r="O401" s="44" t="s">
        <v>687</v>
      </c>
      <c r="P401" s="45"/>
      <c r="Q401" s="45" t="s">
        <v>67</v>
      </c>
      <c r="R401" s="46">
        <v>1.0</v>
      </c>
      <c r="S401" s="45" t="s">
        <v>67</v>
      </c>
      <c r="T401" s="58"/>
      <c r="U401" s="45" t="s">
        <v>67</v>
      </c>
      <c r="V401" s="45"/>
      <c r="W401" s="156">
        <v>46133.0</v>
      </c>
      <c r="X401" s="49" t="s">
        <v>2553</v>
      </c>
      <c r="Y401" s="49" t="s">
        <v>992</v>
      </c>
      <c r="Z401" s="40" t="s">
        <v>2554</v>
      </c>
      <c r="AA401" s="45" t="s">
        <v>74</v>
      </c>
      <c r="AB401" s="45" t="s">
        <v>67</v>
      </c>
      <c r="AC401" s="45" t="s">
        <v>135</v>
      </c>
      <c r="AD401" s="51" t="s">
        <v>76</v>
      </c>
      <c r="AE401" s="54"/>
      <c r="AF401" s="45" t="s">
        <v>67</v>
      </c>
      <c r="AG401" s="45"/>
      <c r="AH401" s="45">
        <v>0.0</v>
      </c>
      <c r="AI401" s="45"/>
      <c r="AJ401" s="45"/>
      <c r="AK401" s="45"/>
      <c r="AL401" s="45"/>
      <c r="AM401" s="45"/>
      <c r="AN401" s="45">
        <v>0.0</v>
      </c>
      <c r="AO401" s="55"/>
      <c r="AP401" s="185"/>
      <c r="AQ401" s="186" t="s">
        <v>2555</v>
      </c>
      <c r="AR401" s="54"/>
      <c r="AS401" s="54"/>
      <c r="AT401" s="54"/>
    </row>
    <row r="402">
      <c r="A402" s="35" t="s">
        <v>2556</v>
      </c>
      <c r="B402" s="36" t="s">
        <v>2522</v>
      </c>
      <c r="C402" s="36" t="s">
        <v>2530</v>
      </c>
      <c r="D402" s="36" t="s">
        <v>2557</v>
      </c>
      <c r="E402" s="62" t="s">
        <v>2558</v>
      </c>
      <c r="F402" s="38" t="s">
        <v>2559</v>
      </c>
      <c r="G402" s="61">
        <v>9.67755871E8</v>
      </c>
      <c r="H402" s="40">
        <v>2990.0</v>
      </c>
      <c r="I402" s="40">
        <v>1101.0</v>
      </c>
      <c r="J402" s="40" t="s">
        <v>65</v>
      </c>
      <c r="K402" s="41" t="s">
        <v>2560</v>
      </c>
      <c r="L402" s="42" t="s">
        <v>67</v>
      </c>
      <c r="M402" s="41" t="s">
        <v>685</v>
      </c>
      <c r="N402" s="43" t="s">
        <v>686</v>
      </c>
      <c r="O402" s="44" t="s">
        <v>687</v>
      </c>
      <c r="P402" s="45"/>
      <c r="Q402" s="45" t="s">
        <v>67</v>
      </c>
      <c r="R402" s="46">
        <v>1.0</v>
      </c>
      <c r="S402" s="45" t="s">
        <v>67</v>
      </c>
      <c r="T402" s="58"/>
      <c r="U402" s="45" t="s">
        <v>67</v>
      </c>
      <c r="V402" s="45"/>
      <c r="W402" s="156">
        <v>46133.0</v>
      </c>
      <c r="X402" s="49" t="s">
        <v>511</v>
      </c>
      <c r="Y402" s="49" t="s">
        <v>378</v>
      </c>
      <c r="Z402" s="40" t="s">
        <v>2554</v>
      </c>
      <c r="AA402" s="45" t="s">
        <v>74</v>
      </c>
      <c r="AB402" s="45" t="s">
        <v>67</v>
      </c>
      <c r="AC402" s="45" t="s">
        <v>306</v>
      </c>
      <c r="AD402" s="51" t="s">
        <v>76</v>
      </c>
      <c r="AE402" s="54"/>
      <c r="AF402" s="45" t="s">
        <v>67</v>
      </c>
      <c r="AG402" s="45"/>
      <c r="AH402" s="45">
        <v>0.0</v>
      </c>
      <c r="AI402" s="45"/>
      <c r="AJ402" s="45"/>
      <c r="AK402" s="45"/>
      <c r="AL402" s="45"/>
      <c r="AM402" s="45"/>
      <c r="AN402" s="45">
        <v>0.0</v>
      </c>
      <c r="AO402" s="55"/>
      <c r="AP402" s="185"/>
      <c r="AQ402" s="185"/>
      <c r="AR402" s="54"/>
      <c r="AS402" s="54"/>
      <c r="AT402" s="54"/>
    </row>
    <row r="403">
      <c r="A403" s="35" t="s">
        <v>2561</v>
      </c>
      <c r="B403" s="36" t="s">
        <v>2522</v>
      </c>
      <c r="C403" s="36" t="s">
        <v>2530</v>
      </c>
      <c r="D403" s="36" t="s">
        <v>2562</v>
      </c>
      <c r="E403" s="37" t="s">
        <v>2563</v>
      </c>
      <c r="F403" s="38" t="s">
        <v>2564</v>
      </c>
      <c r="G403" s="61">
        <v>9.50821169E8</v>
      </c>
      <c r="H403" s="40">
        <v>2991.0</v>
      </c>
      <c r="I403" s="40">
        <v>1102.0</v>
      </c>
      <c r="J403" s="40" t="s">
        <v>65</v>
      </c>
      <c r="K403" s="41" t="s">
        <v>2565</v>
      </c>
      <c r="L403" s="42" t="s">
        <v>67</v>
      </c>
      <c r="M403" s="41" t="s">
        <v>685</v>
      </c>
      <c r="N403" s="43" t="s">
        <v>686</v>
      </c>
      <c r="O403" s="44" t="s">
        <v>687</v>
      </c>
      <c r="P403" s="45"/>
      <c r="Q403" s="45" t="s">
        <v>67</v>
      </c>
      <c r="R403" s="46">
        <v>1.0</v>
      </c>
      <c r="S403" s="45" t="s">
        <v>67</v>
      </c>
      <c r="T403" s="58"/>
      <c r="U403" s="45" t="s">
        <v>67</v>
      </c>
      <c r="V403" s="45"/>
      <c r="W403" s="156">
        <v>46133.0</v>
      </c>
      <c r="X403" s="49" t="s">
        <v>2566</v>
      </c>
      <c r="Y403" s="49" t="s">
        <v>393</v>
      </c>
      <c r="Z403" s="40" t="s">
        <v>2554</v>
      </c>
      <c r="AA403" s="45" t="s">
        <v>74</v>
      </c>
      <c r="AB403" s="45" t="s">
        <v>67</v>
      </c>
      <c r="AC403" s="45" t="s">
        <v>287</v>
      </c>
      <c r="AD403" s="51" t="s">
        <v>76</v>
      </c>
      <c r="AE403" s="54"/>
      <c r="AF403" s="45" t="s">
        <v>67</v>
      </c>
      <c r="AG403" s="45"/>
      <c r="AH403" s="45">
        <v>0.0</v>
      </c>
      <c r="AI403" s="45"/>
      <c r="AJ403" s="45"/>
      <c r="AK403" s="45"/>
      <c r="AL403" s="45"/>
      <c r="AM403" s="45"/>
      <c r="AN403" s="45">
        <v>0.0</v>
      </c>
      <c r="AO403" s="55"/>
      <c r="AP403" s="185"/>
      <c r="AQ403" s="185"/>
      <c r="AR403" s="54"/>
      <c r="AS403" s="54"/>
      <c r="AT403" s="54"/>
    </row>
    <row r="404">
      <c r="A404" s="35" t="s">
        <v>2567</v>
      </c>
      <c r="B404" s="36" t="s">
        <v>2522</v>
      </c>
      <c r="C404" s="36" t="s">
        <v>2523</v>
      </c>
      <c r="D404" s="36" t="s">
        <v>2568</v>
      </c>
      <c r="E404" s="37" t="s">
        <v>2569</v>
      </c>
      <c r="F404" s="38" t="s">
        <v>2570</v>
      </c>
      <c r="G404" s="61">
        <v>9.65211311E8</v>
      </c>
      <c r="H404" s="40">
        <v>2985.0</v>
      </c>
      <c r="I404" s="40">
        <v>1096.0</v>
      </c>
      <c r="J404" s="40" t="s">
        <v>65</v>
      </c>
      <c r="K404" s="42" t="s">
        <v>2571</v>
      </c>
      <c r="L404" s="42" t="s">
        <v>67</v>
      </c>
      <c r="M404" s="41" t="s">
        <v>685</v>
      </c>
      <c r="N404" s="43" t="s">
        <v>686</v>
      </c>
      <c r="O404" s="44" t="s">
        <v>687</v>
      </c>
      <c r="P404" s="45"/>
      <c r="Q404" s="45" t="s">
        <v>67</v>
      </c>
      <c r="R404" s="46">
        <v>2.0</v>
      </c>
      <c r="S404" s="45" t="s">
        <v>67</v>
      </c>
      <c r="T404" s="58"/>
      <c r="U404" s="45" t="s">
        <v>67</v>
      </c>
      <c r="V404" s="45"/>
      <c r="W404" s="156">
        <v>46133.0</v>
      </c>
      <c r="X404" s="49" t="s">
        <v>2572</v>
      </c>
      <c r="Y404" s="49" t="s">
        <v>2573</v>
      </c>
      <c r="Z404" s="40" t="s">
        <v>2554</v>
      </c>
      <c r="AA404" s="45" t="s">
        <v>74</v>
      </c>
      <c r="AB404" s="45" t="s">
        <v>67</v>
      </c>
      <c r="AC404" s="45" t="s">
        <v>195</v>
      </c>
      <c r="AD404" s="51" t="s">
        <v>76</v>
      </c>
      <c r="AE404" s="54"/>
      <c r="AF404" s="45" t="s">
        <v>67</v>
      </c>
      <c r="AG404" s="45"/>
      <c r="AH404" s="45">
        <v>0.0</v>
      </c>
      <c r="AI404" s="45"/>
      <c r="AJ404" s="45"/>
      <c r="AK404" s="45"/>
      <c r="AL404" s="45"/>
      <c r="AM404" s="45"/>
      <c r="AN404" s="45">
        <v>0.0</v>
      </c>
      <c r="AO404" s="55"/>
      <c r="AP404" s="185"/>
      <c r="AQ404" s="185"/>
      <c r="AR404" s="54"/>
      <c r="AS404" s="54"/>
      <c r="AT404" s="54"/>
    </row>
    <row r="405">
      <c r="A405" s="35" t="s">
        <v>2574</v>
      </c>
      <c r="B405" s="36" t="s">
        <v>2522</v>
      </c>
      <c r="C405" s="36" t="s">
        <v>2530</v>
      </c>
      <c r="D405" s="36" t="s">
        <v>2575</v>
      </c>
      <c r="E405" s="62" t="s">
        <v>2576</v>
      </c>
      <c r="F405" s="38" t="s">
        <v>2577</v>
      </c>
      <c r="G405" s="61">
        <v>9.87616928E8</v>
      </c>
      <c r="H405" s="40">
        <v>2992.0</v>
      </c>
      <c r="I405" s="40">
        <v>1103.0</v>
      </c>
      <c r="J405" s="40" t="s">
        <v>65</v>
      </c>
      <c r="K405" s="41" t="s">
        <v>2578</v>
      </c>
      <c r="L405" s="42" t="s">
        <v>67</v>
      </c>
      <c r="M405" s="41" t="s">
        <v>685</v>
      </c>
      <c r="N405" s="43" t="s">
        <v>686</v>
      </c>
      <c r="O405" s="44" t="s">
        <v>687</v>
      </c>
      <c r="P405" s="45"/>
      <c r="Q405" s="45" t="s">
        <v>67</v>
      </c>
      <c r="R405" s="46">
        <v>1.0</v>
      </c>
      <c r="S405" s="45" t="s">
        <v>67</v>
      </c>
      <c r="T405" s="58"/>
      <c r="U405" s="45" t="s">
        <v>67</v>
      </c>
      <c r="V405" s="45"/>
      <c r="W405" s="156">
        <v>46133.0</v>
      </c>
      <c r="X405" s="49" t="s">
        <v>2579</v>
      </c>
      <c r="Y405" s="49" t="s">
        <v>601</v>
      </c>
      <c r="Z405" s="40" t="s">
        <v>2554</v>
      </c>
      <c r="AA405" s="45" t="s">
        <v>74</v>
      </c>
      <c r="AB405" s="45" t="s">
        <v>67</v>
      </c>
      <c r="AC405" s="45" t="s">
        <v>306</v>
      </c>
      <c r="AD405" s="51" t="s">
        <v>76</v>
      </c>
      <c r="AE405" s="54"/>
      <c r="AF405" s="45" t="s">
        <v>67</v>
      </c>
      <c r="AG405" s="45"/>
      <c r="AH405" s="45">
        <v>0.0</v>
      </c>
      <c r="AI405" s="45"/>
      <c r="AJ405" s="45"/>
      <c r="AK405" s="45"/>
      <c r="AL405" s="45"/>
      <c r="AM405" s="45"/>
      <c r="AN405" s="45">
        <v>0.0</v>
      </c>
      <c r="AO405" s="60"/>
      <c r="AP405" s="185"/>
      <c r="AQ405" s="185"/>
      <c r="AR405" s="54"/>
      <c r="AS405" s="54"/>
      <c r="AT405" s="54"/>
    </row>
    <row r="406">
      <c r="A406" s="35" t="s">
        <v>2580</v>
      </c>
      <c r="B406" s="36" t="s">
        <v>2522</v>
      </c>
      <c r="C406" s="36" t="s">
        <v>2530</v>
      </c>
      <c r="D406" s="36" t="s">
        <v>2581</v>
      </c>
      <c r="E406" s="37" t="s">
        <v>2582</v>
      </c>
      <c r="F406" s="38" t="s">
        <v>2583</v>
      </c>
      <c r="G406" s="61">
        <v>9.06122321E8</v>
      </c>
      <c r="H406" s="40">
        <v>2900.0</v>
      </c>
      <c r="I406" s="40">
        <v>1104.0</v>
      </c>
      <c r="J406" s="40" t="s">
        <v>65</v>
      </c>
      <c r="K406" s="42" t="s">
        <v>2584</v>
      </c>
      <c r="L406" s="42" t="s">
        <v>74</v>
      </c>
      <c r="M406" s="41" t="s">
        <v>685</v>
      </c>
      <c r="N406" s="43" t="s">
        <v>686</v>
      </c>
      <c r="O406" s="44" t="s">
        <v>687</v>
      </c>
      <c r="P406" s="45"/>
      <c r="Q406" s="45" t="s">
        <v>67</v>
      </c>
      <c r="R406" s="46">
        <v>1.0</v>
      </c>
      <c r="S406" s="45" t="s">
        <v>67</v>
      </c>
      <c r="T406" s="58"/>
      <c r="U406" s="45" t="s">
        <v>67</v>
      </c>
      <c r="V406" s="45"/>
      <c r="W406" s="156">
        <v>46133.0</v>
      </c>
      <c r="X406" s="49" t="s">
        <v>2585</v>
      </c>
      <c r="Y406" s="49" t="s">
        <v>393</v>
      </c>
      <c r="Z406" s="40" t="s">
        <v>2554</v>
      </c>
      <c r="AA406" s="45" t="s">
        <v>74</v>
      </c>
      <c r="AB406" s="45" t="s">
        <v>67</v>
      </c>
      <c r="AC406" s="45" t="s">
        <v>306</v>
      </c>
      <c r="AD406" s="51" t="s">
        <v>1081</v>
      </c>
      <c r="AE406" s="54"/>
      <c r="AF406" s="45" t="s">
        <v>67</v>
      </c>
      <c r="AG406" s="45"/>
      <c r="AH406" s="45">
        <v>0.0</v>
      </c>
      <c r="AI406" s="45"/>
      <c r="AJ406" s="45"/>
      <c r="AK406" s="45"/>
      <c r="AL406" s="45"/>
      <c r="AM406" s="45"/>
      <c r="AN406" s="45">
        <v>0.0</v>
      </c>
      <c r="AO406" s="187" t="s">
        <v>2586</v>
      </c>
      <c r="AP406" s="54"/>
      <c r="AQ406" s="188" t="s">
        <v>2587</v>
      </c>
      <c r="AR406" s="54"/>
      <c r="AS406" s="54"/>
      <c r="AT406" s="54"/>
    </row>
    <row r="407">
      <c r="A407" s="35" t="s">
        <v>2588</v>
      </c>
      <c r="B407" s="36" t="s">
        <v>2589</v>
      </c>
      <c r="C407" s="36" t="s">
        <v>2589</v>
      </c>
      <c r="D407" s="36" t="s">
        <v>2590</v>
      </c>
      <c r="E407" s="37" t="s">
        <v>2591</v>
      </c>
      <c r="F407" s="38" t="s">
        <v>2592</v>
      </c>
      <c r="G407" s="61">
        <v>9.70065484E8</v>
      </c>
      <c r="H407" s="40">
        <v>2820.0</v>
      </c>
      <c r="I407" s="40">
        <v>1021.0</v>
      </c>
      <c r="J407" s="40" t="s">
        <v>65</v>
      </c>
      <c r="K407" s="41" t="s">
        <v>2593</v>
      </c>
      <c r="L407" s="42" t="s">
        <v>67</v>
      </c>
      <c r="M407" s="41" t="s">
        <v>2594</v>
      </c>
      <c r="N407" s="43" t="s">
        <v>2595</v>
      </c>
      <c r="O407" s="44" t="s">
        <v>2596</v>
      </c>
      <c r="P407" s="45"/>
      <c r="Q407" s="45" t="s">
        <v>67</v>
      </c>
      <c r="R407" s="46">
        <v>1.0</v>
      </c>
      <c r="S407" s="45" t="s">
        <v>67</v>
      </c>
      <c r="T407" s="58"/>
      <c r="U407" s="45" t="s">
        <v>67</v>
      </c>
      <c r="V407" s="45"/>
      <c r="W407" s="156">
        <v>46133.0</v>
      </c>
      <c r="X407" s="49" t="s">
        <v>2597</v>
      </c>
      <c r="Y407" s="49" t="s">
        <v>2430</v>
      </c>
      <c r="Z407" s="40" t="s">
        <v>2554</v>
      </c>
      <c r="AA407" s="45" t="s">
        <v>74</v>
      </c>
      <c r="AB407" s="45" t="s">
        <v>67</v>
      </c>
      <c r="AC407" s="45" t="s">
        <v>306</v>
      </c>
      <c r="AD407" s="51" t="s">
        <v>76</v>
      </c>
      <c r="AE407" s="54"/>
      <c r="AF407" s="45" t="s">
        <v>67</v>
      </c>
      <c r="AG407" s="45"/>
      <c r="AH407" s="45">
        <v>0.0</v>
      </c>
      <c r="AI407" s="45"/>
      <c r="AJ407" s="45"/>
      <c r="AK407" s="45"/>
      <c r="AL407" s="45"/>
      <c r="AM407" s="45"/>
      <c r="AN407" s="45">
        <v>0.0</v>
      </c>
      <c r="AO407" s="55"/>
      <c r="AP407" s="185"/>
      <c r="AQ407" s="185"/>
      <c r="AR407" s="54"/>
      <c r="AS407" s="54"/>
      <c r="AT407" s="54"/>
    </row>
    <row r="408">
      <c r="A408" s="35" t="s">
        <v>2598</v>
      </c>
      <c r="B408" s="36" t="s">
        <v>2589</v>
      </c>
      <c r="C408" s="36" t="s">
        <v>2599</v>
      </c>
      <c r="D408" s="36" t="s">
        <v>2600</v>
      </c>
      <c r="E408" s="62" t="s">
        <v>2601</v>
      </c>
      <c r="F408" s="38" t="s">
        <v>2602</v>
      </c>
      <c r="G408" s="61" t="s">
        <v>2603</v>
      </c>
      <c r="H408" s="40">
        <v>2832.0</v>
      </c>
      <c r="I408" s="40">
        <v>1032.0</v>
      </c>
      <c r="J408" s="40" t="s">
        <v>65</v>
      </c>
      <c r="K408" s="41" t="s">
        <v>2604</v>
      </c>
      <c r="L408" s="42" t="s">
        <v>67</v>
      </c>
      <c r="M408" s="42" t="s">
        <v>2605</v>
      </c>
      <c r="N408" s="43" t="s">
        <v>2595</v>
      </c>
      <c r="O408" s="44" t="s">
        <v>2596</v>
      </c>
      <c r="P408" s="45"/>
      <c r="Q408" s="45" t="s">
        <v>67</v>
      </c>
      <c r="R408" s="46">
        <v>1.0</v>
      </c>
      <c r="S408" s="45" t="s">
        <v>67</v>
      </c>
      <c r="T408" s="58"/>
      <c r="U408" s="45" t="s">
        <v>67</v>
      </c>
      <c r="V408" s="45"/>
      <c r="W408" s="68">
        <v>46133.0</v>
      </c>
      <c r="X408" s="49" t="s">
        <v>2606</v>
      </c>
      <c r="Y408" s="49" t="s">
        <v>1381</v>
      </c>
      <c r="Z408" s="40" t="s">
        <v>2554</v>
      </c>
      <c r="AA408" s="45" t="s">
        <v>74</v>
      </c>
      <c r="AB408" s="45" t="s">
        <v>67</v>
      </c>
      <c r="AC408" s="45" t="s">
        <v>135</v>
      </c>
      <c r="AD408" s="51" t="s">
        <v>76</v>
      </c>
      <c r="AE408" s="54"/>
      <c r="AF408" s="45"/>
      <c r="AG408" s="45"/>
      <c r="AH408" s="45">
        <v>0.0</v>
      </c>
      <c r="AI408" s="45"/>
      <c r="AJ408" s="45"/>
      <c r="AK408" s="45"/>
      <c r="AL408" s="45"/>
      <c r="AM408" s="45"/>
      <c r="AN408" s="45">
        <v>0.0</v>
      </c>
      <c r="AO408" s="60" t="s">
        <v>2607</v>
      </c>
      <c r="AP408" s="185"/>
      <c r="AQ408" s="185"/>
      <c r="AR408" s="67"/>
      <c r="AS408" s="67"/>
      <c r="AT408" s="67"/>
    </row>
    <row r="409">
      <c r="A409" s="35" t="s">
        <v>2608</v>
      </c>
      <c r="B409" s="36" t="s">
        <v>2589</v>
      </c>
      <c r="C409" s="36" t="s">
        <v>2599</v>
      </c>
      <c r="D409" s="36" t="s">
        <v>2609</v>
      </c>
      <c r="E409" s="37" t="s">
        <v>2610</v>
      </c>
      <c r="F409" s="38" t="s">
        <v>2611</v>
      </c>
      <c r="G409" s="61">
        <v>9.01023572E8</v>
      </c>
      <c r="H409" s="40">
        <v>2798.0</v>
      </c>
      <c r="I409" s="40">
        <v>1163.0</v>
      </c>
      <c r="J409" s="40" t="s">
        <v>65</v>
      </c>
      <c r="K409" s="42" t="s">
        <v>2612</v>
      </c>
      <c r="L409" s="42" t="s">
        <v>67</v>
      </c>
      <c r="M409" s="41" t="s">
        <v>2594</v>
      </c>
      <c r="N409" s="43" t="s">
        <v>2595</v>
      </c>
      <c r="O409" s="44" t="s">
        <v>2596</v>
      </c>
      <c r="P409" s="45"/>
      <c r="Q409" s="45" t="s">
        <v>67</v>
      </c>
      <c r="R409" s="46">
        <v>1.0</v>
      </c>
      <c r="S409" s="45" t="s">
        <v>67</v>
      </c>
      <c r="T409" s="64"/>
      <c r="U409" s="45" t="s">
        <v>67</v>
      </c>
      <c r="V409" s="45"/>
      <c r="W409" s="156">
        <v>46134.0</v>
      </c>
      <c r="X409" s="49" t="s">
        <v>2613</v>
      </c>
      <c r="Y409" s="49" t="s">
        <v>1240</v>
      </c>
      <c r="Z409" s="40" t="s">
        <v>2554</v>
      </c>
      <c r="AA409" s="45" t="s">
        <v>74</v>
      </c>
      <c r="AB409" s="45" t="s">
        <v>67</v>
      </c>
      <c r="AC409" s="45" t="s">
        <v>458</v>
      </c>
      <c r="AD409" s="51" t="s">
        <v>1081</v>
      </c>
      <c r="AE409" s="54"/>
      <c r="AF409" s="45" t="s">
        <v>67</v>
      </c>
      <c r="AG409" s="45"/>
      <c r="AH409" s="45">
        <v>0.0</v>
      </c>
      <c r="AI409" s="45"/>
      <c r="AJ409" s="45"/>
      <c r="AK409" s="45"/>
      <c r="AL409" s="45"/>
      <c r="AM409" s="45"/>
      <c r="AN409" s="45">
        <v>0.0</v>
      </c>
      <c r="AO409" s="55"/>
      <c r="AP409" s="54"/>
      <c r="AQ409" s="185"/>
      <c r="AR409" s="54"/>
      <c r="AS409" s="54"/>
      <c r="AT409" s="54"/>
    </row>
    <row r="410" hidden="1">
      <c r="A410" s="163" t="s">
        <v>2614</v>
      </c>
      <c r="B410" s="189" t="s">
        <v>2589</v>
      </c>
      <c r="C410" s="189" t="s">
        <v>2589</v>
      </c>
      <c r="D410" s="189" t="s">
        <v>1156</v>
      </c>
      <c r="E410" s="190" t="s">
        <v>208</v>
      </c>
      <c r="F410" s="191"/>
      <c r="G410" s="189"/>
      <c r="H410" s="192"/>
      <c r="I410" s="192"/>
      <c r="J410" s="192" t="s">
        <v>149</v>
      </c>
      <c r="K410" s="193" t="s">
        <v>2615</v>
      </c>
      <c r="L410" s="73" t="s">
        <v>74</v>
      </c>
      <c r="M410" s="193" t="s">
        <v>2594</v>
      </c>
      <c r="N410" s="194" t="s">
        <v>2595</v>
      </c>
      <c r="O410" s="195" t="s">
        <v>2596</v>
      </c>
      <c r="P410" s="196"/>
      <c r="Q410" s="196" t="s">
        <v>67</v>
      </c>
      <c r="R410" s="197">
        <v>1.0</v>
      </c>
      <c r="S410" s="196" t="s">
        <v>74</v>
      </c>
      <c r="T410" s="163" t="s">
        <v>2616</v>
      </c>
      <c r="U410" s="196"/>
      <c r="V410" s="196"/>
      <c r="W410" s="198"/>
      <c r="X410" s="199" t="s">
        <v>205</v>
      </c>
      <c r="Y410" s="199"/>
      <c r="Z410" s="192" t="s">
        <v>2554</v>
      </c>
      <c r="AA410" s="45" t="s">
        <v>74</v>
      </c>
      <c r="AB410" s="45" t="s">
        <v>67</v>
      </c>
      <c r="AC410" s="45"/>
      <c r="AD410" s="51" t="s">
        <v>76</v>
      </c>
      <c r="AE410" s="200"/>
      <c r="AF410" s="196"/>
      <c r="AG410" s="196"/>
      <c r="AH410" s="45">
        <v>0.0</v>
      </c>
      <c r="AI410" s="45"/>
      <c r="AJ410" s="45"/>
      <c r="AK410" s="45"/>
      <c r="AL410" s="45"/>
      <c r="AM410" s="45"/>
      <c r="AN410" s="45">
        <v>0.0</v>
      </c>
      <c r="AO410" s="201"/>
      <c r="AP410" s="200"/>
      <c r="AQ410" s="200"/>
      <c r="AR410" s="200"/>
      <c r="AS410" s="200"/>
      <c r="AT410" s="200"/>
    </row>
    <row r="411">
      <c r="A411" s="35" t="s">
        <v>2617</v>
      </c>
      <c r="B411" s="36" t="s">
        <v>2589</v>
      </c>
      <c r="C411" s="36" t="s">
        <v>2599</v>
      </c>
      <c r="D411" s="36" t="s">
        <v>2618</v>
      </c>
      <c r="E411" s="37" t="s">
        <v>2619</v>
      </c>
      <c r="F411" s="38" t="s">
        <v>2620</v>
      </c>
      <c r="G411" s="61">
        <v>9.85495565E8</v>
      </c>
      <c r="H411" s="40">
        <v>2825.0</v>
      </c>
      <c r="I411" s="40">
        <v>1026.0</v>
      </c>
      <c r="J411" s="40" t="s">
        <v>65</v>
      </c>
      <c r="K411" s="41" t="s">
        <v>2621</v>
      </c>
      <c r="L411" s="42" t="s">
        <v>67</v>
      </c>
      <c r="M411" s="42" t="s">
        <v>2605</v>
      </c>
      <c r="N411" s="43" t="s">
        <v>2595</v>
      </c>
      <c r="O411" s="44" t="s">
        <v>2596</v>
      </c>
      <c r="P411" s="45" t="s">
        <v>67</v>
      </c>
      <c r="Q411" s="45" t="s">
        <v>67</v>
      </c>
      <c r="R411" s="46">
        <v>1.0</v>
      </c>
      <c r="S411" s="45" t="s">
        <v>67</v>
      </c>
      <c r="T411" s="58"/>
      <c r="U411" s="45" t="s">
        <v>67</v>
      </c>
      <c r="V411" s="45"/>
      <c r="W411" s="68">
        <v>46133.0</v>
      </c>
      <c r="X411" s="49" t="s">
        <v>2622</v>
      </c>
      <c r="Y411" s="49" t="s">
        <v>393</v>
      </c>
      <c r="Z411" s="40" t="s">
        <v>2554</v>
      </c>
      <c r="AA411" s="45" t="s">
        <v>74</v>
      </c>
      <c r="AB411" s="45" t="s">
        <v>67</v>
      </c>
      <c r="AC411" s="45" t="s">
        <v>195</v>
      </c>
      <c r="AD411" s="51" t="s">
        <v>76</v>
      </c>
      <c r="AE411" s="54"/>
      <c r="AF411" s="45" t="s">
        <v>67</v>
      </c>
      <c r="AG411" s="45"/>
      <c r="AH411" s="45">
        <v>0.0</v>
      </c>
      <c r="AI411" s="45"/>
      <c r="AJ411" s="45"/>
      <c r="AK411" s="45"/>
      <c r="AL411" s="45"/>
      <c r="AM411" s="45"/>
      <c r="AN411" s="45">
        <v>0.0</v>
      </c>
      <c r="AO411" s="187" t="s">
        <v>2623</v>
      </c>
      <c r="AP411" s="185"/>
      <c r="AQ411" s="185"/>
      <c r="AR411" s="54"/>
      <c r="AS411" s="54"/>
      <c r="AT411" s="54"/>
    </row>
    <row r="412">
      <c r="A412" s="35" t="s">
        <v>2624</v>
      </c>
      <c r="B412" s="36" t="s">
        <v>2589</v>
      </c>
      <c r="C412" s="36" t="s">
        <v>2599</v>
      </c>
      <c r="D412" s="36" t="s">
        <v>2625</v>
      </c>
      <c r="E412" s="37" t="s">
        <v>2626</v>
      </c>
      <c r="F412" s="38" t="s">
        <v>2627</v>
      </c>
      <c r="G412" s="61">
        <v>9.25199723E8</v>
      </c>
      <c r="H412" s="40">
        <v>2826.0</v>
      </c>
      <c r="I412" s="40">
        <v>1027.0</v>
      </c>
      <c r="J412" s="40" t="s">
        <v>65</v>
      </c>
      <c r="K412" s="42" t="s">
        <v>2628</v>
      </c>
      <c r="L412" s="42" t="s">
        <v>67</v>
      </c>
      <c r="M412" s="41" t="s">
        <v>2594</v>
      </c>
      <c r="N412" s="43" t="s">
        <v>2595</v>
      </c>
      <c r="O412" s="44" t="s">
        <v>2596</v>
      </c>
      <c r="P412" s="45"/>
      <c r="Q412" s="45" t="s">
        <v>67</v>
      </c>
      <c r="R412" s="46">
        <v>1.0</v>
      </c>
      <c r="S412" s="45" t="s">
        <v>67</v>
      </c>
      <c r="T412" s="64"/>
      <c r="U412" s="45" t="s">
        <v>67</v>
      </c>
      <c r="V412" s="45"/>
      <c r="W412" s="202">
        <v>46133.0</v>
      </c>
      <c r="X412" s="49" t="s">
        <v>2629</v>
      </c>
      <c r="Y412" s="49" t="s">
        <v>1381</v>
      </c>
      <c r="Z412" s="40" t="s">
        <v>2554</v>
      </c>
      <c r="AA412" s="45" t="s">
        <v>74</v>
      </c>
      <c r="AB412" s="45" t="s">
        <v>67</v>
      </c>
      <c r="AC412" s="45" t="s">
        <v>135</v>
      </c>
      <c r="AD412" s="51" t="s">
        <v>76</v>
      </c>
      <c r="AE412" s="54"/>
      <c r="AF412" s="45" t="s">
        <v>67</v>
      </c>
      <c r="AG412" s="45"/>
      <c r="AH412" s="45">
        <v>0.0</v>
      </c>
      <c r="AI412" s="45"/>
      <c r="AJ412" s="45"/>
      <c r="AK412" s="45"/>
      <c r="AL412" s="45"/>
      <c r="AM412" s="45"/>
      <c r="AN412" s="45">
        <v>0.0</v>
      </c>
      <c r="AO412" s="55"/>
      <c r="AP412" s="185"/>
      <c r="AQ412" s="186" t="s">
        <v>2630</v>
      </c>
      <c r="AR412" s="54"/>
      <c r="AS412" s="54"/>
      <c r="AT412" s="54"/>
    </row>
    <row r="413">
      <c r="A413" s="35" t="s">
        <v>2631</v>
      </c>
      <c r="B413" s="36" t="s">
        <v>2589</v>
      </c>
      <c r="C413" s="36" t="s">
        <v>2589</v>
      </c>
      <c r="D413" s="36" t="s">
        <v>2632</v>
      </c>
      <c r="E413" s="62" t="s">
        <v>2633</v>
      </c>
      <c r="F413" s="38" t="s">
        <v>2634</v>
      </c>
      <c r="G413" s="61" t="s">
        <v>2635</v>
      </c>
      <c r="H413" s="40">
        <v>2821.0</v>
      </c>
      <c r="I413" s="40">
        <v>1022.0</v>
      </c>
      <c r="J413" s="40" t="s">
        <v>65</v>
      </c>
      <c r="K413" s="41" t="s">
        <v>2636</v>
      </c>
      <c r="L413" s="42" t="s">
        <v>67</v>
      </c>
      <c r="M413" s="41" t="s">
        <v>2594</v>
      </c>
      <c r="N413" s="43" t="s">
        <v>2595</v>
      </c>
      <c r="O413" s="44" t="s">
        <v>2596</v>
      </c>
      <c r="P413" s="45"/>
      <c r="Q413" s="45" t="s">
        <v>67</v>
      </c>
      <c r="R413" s="46">
        <v>1.0</v>
      </c>
      <c r="S413" s="45" t="s">
        <v>67</v>
      </c>
      <c r="T413" s="64"/>
      <c r="U413" s="45" t="s">
        <v>74</v>
      </c>
      <c r="V413" s="45"/>
      <c r="W413" s="202">
        <v>46133.0</v>
      </c>
      <c r="X413" s="49" t="s">
        <v>2637</v>
      </c>
      <c r="Y413" s="49" t="s">
        <v>378</v>
      </c>
      <c r="Z413" s="40" t="s">
        <v>2554</v>
      </c>
      <c r="AA413" s="45" t="s">
        <v>74</v>
      </c>
      <c r="AB413" s="45" t="s">
        <v>67</v>
      </c>
      <c r="AC413" s="45" t="s">
        <v>86</v>
      </c>
      <c r="AD413" s="51" t="s">
        <v>76</v>
      </c>
      <c r="AE413" s="54"/>
      <c r="AF413" s="45" t="s">
        <v>67</v>
      </c>
      <c r="AG413" s="45"/>
      <c r="AH413" s="45">
        <v>0.0</v>
      </c>
      <c r="AI413" s="45"/>
      <c r="AJ413" s="45"/>
      <c r="AK413" s="45"/>
      <c r="AL413" s="45"/>
      <c r="AM413" s="45"/>
      <c r="AN413" s="45">
        <v>0.0</v>
      </c>
      <c r="AO413" s="55"/>
      <c r="AP413" s="185"/>
      <c r="AQ413" s="186" t="s">
        <v>2638</v>
      </c>
      <c r="AR413" s="54"/>
      <c r="AS413" s="54"/>
      <c r="AT413" s="54"/>
    </row>
    <row r="414">
      <c r="A414" s="35" t="s">
        <v>2631</v>
      </c>
      <c r="B414" s="36" t="s">
        <v>2589</v>
      </c>
      <c r="C414" s="36" t="s">
        <v>2589</v>
      </c>
      <c r="D414" s="36" t="s">
        <v>2632</v>
      </c>
      <c r="E414" s="62" t="s">
        <v>2639</v>
      </c>
      <c r="F414" s="38" t="s">
        <v>2640</v>
      </c>
      <c r="G414" s="61">
        <v>9.25377561E8</v>
      </c>
      <c r="H414" s="40">
        <v>2822.0</v>
      </c>
      <c r="I414" s="40">
        <v>1023.0</v>
      </c>
      <c r="J414" s="40" t="s">
        <v>65</v>
      </c>
      <c r="K414" s="42" t="s">
        <v>2641</v>
      </c>
      <c r="L414" s="42" t="s">
        <v>67</v>
      </c>
      <c r="M414" s="41" t="s">
        <v>2594</v>
      </c>
      <c r="N414" s="43" t="s">
        <v>2595</v>
      </c>
      <c r="O414" s="44" t="s">
        <v>2596</v>
      </c>
      <c r="P414" s="45"/>
      <c r="Q414" s="45" t="s">
        <v>67</v>
      </c>
      <c r="R414" s="46">
        <v>1.0</v>
      </c>
      <c r="S414" s="45" t="s">
        <v>67</v>
      </c>
      <c r="T414" s="64"/>
      <c r="U414" s="45" t="s">
        <v>74</v>
      </c>
      <c r="V414" s="45"/>
      <c r="W414" s="202">
        <v>46133.0</v>
      </c>
      <c r="X414" s="49" t="s">
        <v>2637</v>
      </c>
      <c r="Y414" s="49" t="s">
        <v>378</v>
      </c>
      <c r="Z414" s="40" t="s">
        <v>2554</v>
      </c>
      <c r="AA414" s="45" t="s">
        <v>74</v>
      </c>
      <c r="AB414" s="45" t="s">
        <v>67</v>
      </c>
      <c r="AC414" s="45" t="s">
        <v>86</v>
      </c>
      <c r="AD414" s="51" t="s">
        <v>76</v>
      </c>
      <c r="AE414" s="54"/>
      <c r="AF414" s="45" t="s">
        <v>67</v>
      </c>
      <c r="AG414" s="45"/>
      <c r="AH414" s="45">
        <v>0.0</v>
      </c>
      <c r="AI414" s="45"/>
      <c r="AJ414" s="45"/>
      <c r="AK414" s="45"/>
      <c r="AL414" s="45"/>
      <c r="AM414" s="45"/>
      <c r="AN414" s="45">
        <v>0.0</v>
      </c>
      <c r="AO414" s="55"/>
      <c r="AP414" s="185"/>
      <c r="AQ414" s="186" t="s">
        <v>2642</v>
      </c>
      <c r="AR414" s="54"/>
      <c r="AS414" s="54"/>
      <c r="AT414" s="54"/>
    </row>
    <row r="415">
      <c r="A415" s="35" t="s">
        <v>2643</v>
      </c>
      <c r="B415" s="36" t="s">
        <v>2589</v>
      </c>
      <c r="C415" s="36" t="s">
        <v>2644</v>
      </c>
      <c r="D415" s="36" t="s">
        <v>2645</v>
      </c>
      <c r="E415" s="37" t="s">
        <v>2646</v>
      </c>
      <c r="F415" s="38" t="s">
        <v>2647</v>
      </c>
      <c r="G415" s="61">
        <v>9.17647347E8</v>
      </c>
      <c r="H415" s="40">
        <v>2824.0</v>
      </c>
      <c r="I415" s="40">
        <v>1025.0</v>
      </c>
      <c r="J415" s="40" t="s">
        <v>65</v>
      </c>
      <c r="K415" s="41" t="s">
        <v>2648</v>
      </c>
      <c r="L415" s="42" t="s">
        <v>67</v>
      </c>
      <c r="M415" s="41" t="s">
        <v>2594</v>
      </c>
      <c r="N415" s="43" t="s">
        <v>2595</v>
      </c>
      <c r="O415" s="44" t="s">
        <v>2596</v>
      </c>
      <c r="P415" s="45"/>
      <c r="Q415" s="45" t="s">
        <v>67</v>
      </c>
      <c r="R415" s="46">
        <v>1.0</v>
      </c>
      <c r="S415" s="45" t="s">
        <v>67</v>
      </c>
      <c r="T415" s="64"/>
      <c r="U415" s="45" t="s">
        <v>67</v>
      </c>
      <c r="V415" s="45"/>
      <c r="W415" s="156">
        <v>46132.0</v>
      </c>
      <c r="X415" s="49" t="s">
        <v>2649</v>
      </c>
      <c r="Y415" s="49" t="s">
        <v>378</v>
      </c>
      <c r="Z415" s="40" t="s">
        <v>2554</v>
      </c>
      <c r="AA415" s="45" t="s">
        <v>74</v>
      </c>
      <c r="AB415" s="45" t="s">
        <v>67</v>
      </c>
      <c r="AC415" s="45" t="s">
        <v>96</v>
      </c>
      <c r="AD415" s="51" t="s">
        <v>76</v>
      </c>
      <c r="AE415" s="54"/>
      <c r="AF415" s="45" t="s">
        <v>67</v>
      </c>
      <c r="AG415" s="45"/>
      <c r="AH415" s="45">
        <v>0.0</v>
      </c>
      <c r="AI415" s="45"/>
      <c r="AJ415" s="45"/>
      <c r="AK415" s="45"/>
      <c r="AL415" s="45"/>
      <c r="AM415" s="45"/>
      <c r="AN415" s="45">
        <v>0.0</v>
      </c>
      <c r="AO415" s="55"/>
      <c r="AP415" s="185"/>
      <c r="AQ415" s="185"/>
      <c r="AR415" s="54"/>
      <c r="AS415" s="54"/>
      <c r="AT415" s="54"/>
    </row>
    <row r="416">
      <c r="A416" s="35" t="s">
        <v>2650</v>
      </c>
      <c r="B416" s="36" t="s">
        <v>2589</v>
      </c>
      <c r="C416" s="36" t="s">
        <v>2589</v>
      </c>
      <c r="D416" s="36" t="s">
        <v>2651</v>
      </c>
      <c r="E416" s="62" t="s">
        <v>2652</v>
      </c>
      <c r="F416" s="38" t="s">
        <v>2653</v>
      </c>
      <c r="G416" s="61">
        <v>9.68518495E8</v>
      </c>
      <c r="H416" s="40">
        <v>2830.0</v>
      </c>
      <c r="I416" s="40">
        <v>1030.0</v>
      </c>
      <c r="J416" s="40" t="s">
        <v>65</v>
      </c>
      <c r="K416" s="41" t="s">
        <v>2654</v>
      </c>
      <c r="L416" s="42" t="s">
        <v>67</v>
      </c>
      <c r="M416" s="41" t="s">
        <v>2594</v>
      </c>
      <c r="N416" s="43" t="s">
        <v>2595</v>
      </c>
      <c r="O416" s="44" t="s">
        <v>2596</v>
      </c>
      <c r="P416" s="45"/>
      <c r="Q416" s="45" t="s">
        <v>67</v>
      </c>
      <c r="R416" s="46">
        <v>1.0</v>
      </c>
      <c r="S416" s="45" t="s">
        <v>67</v>
      </c>
      <c r="T416" s="64"/>
      <c r="U416" s="45" t="s">
        <v>67</v>
      </c>
      <c r="V416" s="45"/>
      <c r="W416" s="156">
        <v>46133.0</v>
      </c>
      <c r="X416" s="49" t="s">
        <v>2655</v>
      </c>
      <c r="Y416" s="49" t="s">
        <v>893</v>
      </c>
      <c r="Z416" s="40" t="s">
        <v>2554</v>
      </c>
      <c r="AA416" s="45" t="s">
        <v>67</v>
      </c>
      <c r="AB416" s="45" t="s">
        <v>67</v>
      </c>
      <c r="AC416" s="45" t="s">
        <v>96</v>
      </c>
      <c r="AD416" s="51" t="s">
        <v>76</v>
      </c>
      <c r="AE416" s="54"/>
      <c r="AF416" s="45" t="s">
        <v>67</v>
      </c>
      <c r="AG416" s="45"/>
      <c r="AH416" s="45">
        <v>0.0</v>
      </c>
      <c r="AI416" s="45"/>
      <c r="AJ416" s="45"/>
      <c r="AK416" s="45"/>
      <c r="AL416" s="45"/>
      <c r="AM416" s="45"/>
      <c r="AN416" s="45">
        <v>0.0</v>
      </c>
      <c r="AO416" s="55"/>
      <c r="AP416" s="185"/>
      <c r="AQ416" s="185"/>
      <c r="AR416" s="54"/>
      <c r="AS416" s="54"/>
      <c r="AT416" s="54"/>
    </row>
    <row r="417">
      <c r="A417" s="35" t="s">
        <v>2656</v>
      </c>
      <c r="B417" s="36" t="s">
        <v>2589</v>
      </c>
      <c r="C417" s="36" t="s">
        <v>2644</v>
      </c>
      <c r="D417" s="36" t="s">
        <v>2657</v>
      </c>
      <c r="E417" s="37" t="s">
        <v>2658</v>
      </c>
      <c r="F417" s="38" t="s">
        <v>2659</v>
      </c>
      <c r="G417" s="61">
        <v>9.95052007E8</v>
      </c>
      <c r="H417" s="40">
        <v>2823.0</v>
      </c>
      <c r="I417" s="40">
        <v>1024.0</v>
      </c>
      <c r="J417" s="40" t="s">
        <v>65</v>
      </c>
      <c r="K417" s="42" t="s">
        <v>2660</v>
      </c>
      <c r="L417" s="42" t="s">
        <v>67</v>
      </c>
      <c r="M417" s="41" t="s">
        <v>2594</v>
      </c>
      <c r="N417" s="43" t="s">
        <v>2595</v>
      </c>
      <c r="O417" s="44" t="s">
        <v>2596</v>
      </c>
      <c r="P417" s="45"/>
      <c r="Q417" s="45" t="s">
        <v>67</v>
      </c>
      <c r="R417" s="46">
        <v>1.0</v>
      </c>
      <c r="S417" s="45" t="s">
        <v>67</v>
      </c>
      <c r="T417" s="58" t="s">
        <v>2661</v>
      </c>
      <c r="U417" s="45" t="s">
        <v>67</v>
      </c>
      <c r="V417" s="45"/>
      <c r="W417" s="156">
        <v>46132.0</v>
      </c>
      <c r="X417" s="49" t="s">
        <v>2662</v>
      </c>
      <c r="Y417" s="49" t="s">
        <v>893</v>
      </c>
      <c r="Z417" s="40" t="s">
        <v>2554</v>
      </c>
      <c r="AA417" s="45" t="s">
        <v>74</v>
      </c>
      <c r="AB417" s="45" t="s">
        <v>67</v>
      </c>
      <c r="AC417" s="45" t="s">
        <v>306</v>
      </c>
      <c r="AD417" s="51" t="s">
        <v>76</v>
      </c>
      <c r="AE417" s="54"/>
      <c r="AF417" s="45" t="s">
        <v>74</v>
      </c>
      <c r="AG417" s="45"/>
      <c r="AH417" s="45">
        <v>0.0</v>
      </c>
      <c r="AI417" s="45"/>
      <c r="AJ417" s="45"/>
      <c r="AK417" s="45"/>
      <c r="AL417" s="45"/>
      <c r="AM417" s="45"/>
      <c r="AN417" s="45">
        <v>0.0</v>
      </c>
      <c r="AO417" s="55"/>
      <c r="AP417" s="185"/>
      <c r="AQ417" s="185"/>
      <c r="AR417" s="54"/>
      <c r="AS417" s="54"/>
      <c r="AT417" s="54"/>
    </row>
    <row r="418">
      <c r="A418" s="35" t="s">
        <v>2663</v>
      </c>
      <c r="B418" s="36" t="s">
        <v>2664</v>
      </c>
      <c r="C418" s="36" t="s">
        <v>2665</v>
      </c>
      <c r="D418" s="36" t="s">
        <v>2666</v>
      </c>
      <c r="E418" s="62" t="s">
        <v>2667</v>
      </c>
      <c r="F418" s="38" t="s">
        <v>2668</v>
      </c>
      <c r="G418" s="61">
        <v>9.32002222E8</v>
      </c>
      <c r="H418" s="40">
        <v>2568.0</v>
      </c>
      <c r="I418" s="40">
        <v>735.0</v>
      </c>
      <c r="J418" s="40" t="s">
        <v>65</v>
      </c>
      <c r="K418" s="41" t="s">
        <v>2669</v>
      </c>
      <c r="L418" s="42" t="s">
        <v>67</v>
      </c>
      <c r="M418" s="41" t="s">
        <v>2670</v>
      </c>
      <c r="N418" s="43" t="s">
        <v>2671</v>
      </c>
      <c r="O418" s="44">
        <v>0.0</v>
      </c>
      <c r="P418" s="45"/>
      <c r="Q418" s="45" t="s">
        <v>67</v>
      </c>
      <c r="R418" s="46">
        <v>1.0</v>
      </c>
      <c r="S418" s="45" t="s">
        <v>67</v>
      </c>
      <c r="T418" s="64"/>
      <c r="U418" s="45" t="s">
        <v>67</v>
      </c>
      <c r="V418" s="45"/>
      <c r="W418" s="156">
        <v>46133.0</v>
      </c>
      <c r="X418" s="49" t="s">
        <v>2672</v>
      </c>
      <c r="Y418" s="49" t="s">
        <v>378</v>
      </c>
      <c r="Z418" s="40" t="s">
        <v>2554</v>
      </c>
      <c r="AA418" s="45" t="s">
        <v>74</v>
      </c>
      <c r="AB418" s="45" t="s">
        <v>67</v>
      </c>
      <c r="AC418" s="45" t="s">
        <v>458</v>
      </c>
      <c r="AD418" s="51" t="s">
        <v>76</v>
      </c>
      <c r="AE418" s="54"/>
      <c r="AF418" s="45" t="s">
        <v>67</v>
      </c>
      <c r="AG418" s="45"/>
      <c r="AH418" s="45">
        <v>0.0</v>
      </c>
      <c r="AI418" s="45"/>
      <c r="AJ418" s="45"/>
      <c r="AK418" s="45"/>
      <c r="AL418" s="45"/>
      <c r="AM418" s="45"/>
      <c r="AN418" s="45">
        <v>0.0</v>
      </c>
      <c r="AO418" s="55"/>
      <c r="AP418" s="185"/>
      <c r="AQ418" s="185"/>
      <c r="AR418" s="54"/>
      <c r="AS418" s="54"/>
      <c r="AT418" s="54"/>
    </row>
    <row r="419">
      <c r="A419" s="35" t="s">
        <v>2663</v>
      </c>
      <c r="B419" s="36" t="s">
        <v>2664</v>
      </c>
      <c r="C419" s="36" t="s">
        <v>2665</v>
      </c>
      <c r="D419" s="36" t="s">
        <v>2666</v>
      </c>
      <c r="E419" s="62" t="s">
        <v>2673</v>
      </c>
      <c r="F419" s="38" t="s">
        <v>2674</v>
      </c>
      <c r="G419" s="61">
        <v>9.32167434E8</v>
      </c>
      <c r="H419" s="40">
        <v>2567.0</v>
      </c>
      <c r="I419" s="40">
        <v>734.0</v>
      </c>
      <c r="J419" s="40" t="s">
        <v>65</v>
      </c>
      <c r="K419" s="41" t="s">
        <v>2675</v>
      </c>
      <c r="L419" s="42" t="s">
        <v>67</v>
      </c>
      <c r="M419" s="41" t="s">
        <v>2670</v>
      </c>
      <c r="N419" s="43" t="s">
        <v>2671</v>
      </c>
      <c r="O419" s="44">
        <v>0.0</v>
      </c>
      <c r="P419" s="45"/>
      <c r="Q419" s="45" t="s">
        <v>67</v>
      </c>
      <c r="R419" s="46">
        <v>1.0</v>
      </c>
      <c r="S419" s="45" t="s">
        <v>67</v>
      </c>
      <c r="T419" s="64"/>
      <c r="U419" s="45" t="s">
        <v>67</v>
      </c>
      <c r="V419" s="45"/>
      <c r="W419" s="156">
        <v>46133.0</v>
      </c>
      <c r="X419" s="49" t="s">
        <v>2672</v>
      </c>
      <c r="Y419" s="49" t="s">
        <v>378</v>
      </c>
      <c r="Z419" s="40" t="s">
        <v>2554</v>
      </c>
      <c r="AA419" s="45" t="s">
        <v>74</v>
      </c>
      <c r="AB419" s="45" t="s">
        <v>67</v>
      </c>
      <c r="AC419" s="45" t="s">
        <v>458</v>
      </c>
      <c r="AD419" s="51" t="s">
        <v>76</v>
      </c>
      <c r="AE419" s="54"/>
      <c r="AF419" s="45" t="s">
        <v>67</v>
      </c>
      <c r="AG419" s="45"/>
      <c r="AH419" s="45">
        <v>0.0</v>
      </c>
      <c r="AI419" s="45"/>
      <c r="AJ419" s="45"/>
      <c r="AK419" s="45"/>
      <c r="AL419" s="45"/>
      <c r="AM419" s="45"/>
      <c r="AN419" s="45">
        <v>0.0</v>
      </c>
      <c r="AO419" s="55"/>
      <c r="AP419" s="185"/>
      <c r="AQ419" s="185"/>
      <c r="AR419" s="54"/>
      <c r="AS419" s="54"/>
      <c r="AT419" s="54"/>
    </row>
    <row r="420">
      <c r="A420" s="35" t="s">
        <v>2676</v>
      </c>
      <c r="B420" s="36" t="s">
        <v>2677</v>
      </c>
      <c r="C420" s="36" t="s">
        <v>2678</v>
      </c>
      <c r="D420" s="36" t="s">
        <v>2679</v>
      </c>
      <c r="E420" s="62" t="s">
        <v>2680</v>
      </c>
      <c r="F420" s="38" t="s">
        <v>2681</v>
      </c>
      <c r="G420" s="61">
        <v>9.50446347E8</v>
      </c>
      <c r="H420" s="40">
        <v>2528.0</v>
      </c>
      <c r="I420" s="40">
        <v>941.0</v>
      </c>
      <c r="J420" s="40" t="s">
        <v>65</v>
      </c>
      <c r="K420" s="42" t="s">
        <v>2682</v>
      </c>
      <c r="L420" s="42" t="s">
        <v>74</v>
      </c>
      <c r="M420" s="53" t="s">
        <v>2683</v>
      </c>
      <c r="N420" s="43" t="s">
        <v>2684</v>
      </c>
      <c r="O420" s="42" t="s">
        <v>2685</v>
      </c>
      <c r="P420" s="45" t="s">
        <v>67</v>
      </c>
      <c r="Q420" s="45" t="s">
        <v>67</v>
      </c>
      <c r="R420" s="46">
        <v>2.0</v>
      </c>
      <c r="S420" s="45" t="s">
        <v>67</v>
      </c>
      <c r="T420" s="58"/>
      <c r="U420" s="45" t="s">
        <v>67</v>
      </c>
      <c r="V420" s="45"/>
      <c r="W420" s="156">
        <v>46133.0</v>
      </c>
      <c r="X420" s="49" t="s">
        <v>2686</v>
      </c>
      <c r="Y420" s="49" t="s">
        <v>666</v>
      </c>
      <c r="Z420" s="40" t="s">
        <v>2554</v>
      </c>
      <c r="AA420" s="45" t="s">
        <v>74</v>
      </c>
      <c r="AB420" s="45" t="s">
        <v>67</v>
      </c>
      <c r="AC420" s="45" t="s">
        <v>125</v>
      </c>
      <c r="AD420" s="51" t="s">
        <v>76</v>
      </c>
      <c r="AE420" s="54"/>
      <c r="AF420" s="45" t="s">
        <v>67</v>
      </c>
      <c r="AG420" s="45"/>
      <c r="AH420" s="45">
        <v>0.0</v>
      </c>
      <c r="AI420" s="45"/>
      <c r="AJ420" s="45"/>
      <c r="AK420" s="45"/>
      <c r="AL420" s="45"/>
      <c r="AM420" s="45"/>
      <c r="AN420" s="45">
        <v>0.0</v>
      </c>
      <c r="AO420" s="55"/>
      <c r="AP420" s="185"/>
      <c r="AQ420" s="185"/>
      <c r="AR420" s="54"/>
      <c r="AS420" s="54"/>
      <c r="AT420" s="54"/>
    </row>
    <row r="421">
      <c r="A421" s="35" t="s">
        <v>2687</v>
      </c>
      <c r="B421" s="36" t="s">
        <v>2677</v>
      </c>
      <c r="C421" s="36" t="s">
        <v>2688</v>
      </c>
      <c r="D421" s="36" t="s">
        <v>2689</v>
      </c>
      <c r="E421" s="37" t="s">
        <v>2690</v>
      </c>
      <c r="F421" s="38" t="s">
        <v>2691</v>
      </c>
      <c r="G421" s="61">
        <v>9.81051016E8</v>
      </c>
      <c r="H421" s="40">
        <v>2650.0</v>
      </c>
      <c r="I421" s="40">
        <v>975.0</v>
      </c>
      <c r="J421" s="40" t="s">
        <v>65</v>
      </c>
      <c r="K421" s="41" t="s">
        <v>2692</v>
      </c>
      <c r="L421" s="42" t="s">
        <v>67</v>
      </c>
      <c r="M421" s="53" t="s">
        <v>2683</v>
      </c>
      <c r="N421" s="43" t="s">
        <v>2684</v>
      </c>
      <c r="O421" s="42" t="s">
        <v>2685</v>
      </c>
      <c r="P421" s="45" t="s">
        <v>67</v>
      </c>
      <c r="Q421" s="45" t="s">
        <v>67</v>
      </c>
      <c r="R421" s="46">
        <v>2.0</v>
      </c>
      <c r="S421" s="45" t="s">
        <v>67</v>
      </c>
      <c r="T421" s="64"/>
      <c r="U421" s="45" t="s">
        <v>67</v>
      </c>
      <c r="V421" s="45"/>
      <c r="W421" s="156">
        <v>46133.0</v>
      </c>
      <c r="X421" s="49" t="s">
        <v>2693</v>
      </c>
      <c r="Y421" s="49" t="s">
        <v>1438</v>
      </c>
      <c r="Z421" s="40" t="s">
        <v>2554</v>
      </c>
      <c r="AA421" s="45" t="s">
        <v>67</v>
      </c>
      <c r="AB421" s="45" t="s">
        <v>67</v>
      </c>
      <c r="AC421" s="45" t="s">
        <v>458</v>
      </c>
      <c r="AD421" s="51" t="s">
        <v>76</v>
      </c>
      <c r="AE421" s="54"/>
      <c r="AF421" s="45" t="s">
        <v>67</v>
      </c>
      <c r="AG421" s="45"/>
      <c r="AH421" s="45">
        <v>0.0</v>
      </c>
      <c r="AI421" s="45"/>
      <c r="AJ421" s="45"/>
      <c r="AK421" s="45"/>
      <c r="AL421" s="45"/>
      <c r="AM421" s="45"/>
      <c r="AN421" s="45">
        <v>0.0</v>
      </c>
      <c r="AO421" s="55"/>
      <c r="AP421" s="185"/>
      <c r="AQ421" s="185"/>
      <c r="AR421" s="54"/>
      <c r="AS421" s="54"/>
      <c r="AT421" s="54"/>
    </row>
    <row r="422">
      <c r="A422" s="35" t="s">
        <v>2694</v>
      </c>
      <c r="B422" s="36" t="s">
        <v>2677</v>
      </c>
      <c r="C422" s="36" t="s">
        <v>2695</v>
      </c>
      <c r="D422" s="36" t="s">
        <v>2696</v>
      </c>
      <c r="E422" s="37" t="s">
        <v>2697</v>
      </c>
      <c r="F422" s="38" t="s">
        <v>2698</v>
      </c>
      <c r="G422" s="61">
        <v>9.22330196E8</v>
      </c>
      <c r="H422" s="40">
        <v>2926.0</v>
      </c>
      <c r="I422" s="40">
        <v>983.0</v>
      </c>
      <c r="J422" s="40" t="s">
        <v>65</v>
      </c>
      <c r="K422" s="42" t="s">
        <v>2699</v>
      </c>
      <c r="L422" s="42" t="s">
        <v>74</v>
      </c>
      <c r="M422" s="41" t="s">
        <v>2683</v>
      </c>
      <c r="N422" s="43" t="s">
        <v>2684</v>
      </c>
      <c r="O422" s="42" t="s">
        <v>2685</v>
      </c>
      <c r="P422" s="45"/>
      <c r="Q422" s="45" t="s">
        <v>67</v>
      </c>
      <c r="R422" s="46">
        <v>1.0</v>
      </c>
      <c r="S422" s="45" t="s">
        <v>67</v>
      </c>
      <c r="T422" s="58"/>
      <c r="U422" s="45" t="s">
        <v>67</v>
      </c>
      <c r="V422" s="45"/>
      <c r="W422" s="156">
        <v>46133.0</v>
      </c>
      <c r="X422" s="49" t="s">
        <v>2700</v>
      </c>
      <c r="Y422" s="49" t="s">
        <v>393</v>
      </c>
      <c r="Z422" s="40" t="s">
        <v>2554</v>
      </c>
      <c r="AA422" s="45" t="s">
        <v>67</v>
      </c>
      <c r="AB422" s="45" t="s">
        <v>67</v>
      </c>
      <c r="AC422" s="45" t="s">
        <v>306</v>
      </c>
      <c r="AD422" s="51" t="s">
        <v>76</v>
      </c>
      <c r="AE422" s="54"/>
      <c r="AF422" s="45" t="s">
        <v>67</v>
      </c>
      <c r="AG422" s="45"/>
      <c r="AH422" s="45">
        <v>0.0</v>
      </c>
      <c r="AI422" s="45"/>
      <c r="AJ422" s="45"/>
      <c r="AK422" s="45"/>
      <c r="AL422" s="45"/>
      <c r="AM422" s="45"/>
      <c r="AN422" s="45">
        <v>0.0</v>
      </c>
      <c r="AO422" s="55"/>
      <c r="AP422" s="185"/>
      <c r="AQ422" s="185"/>
      <c r="AR422" s="54"/>
      <c r="AS422" s="54"/>
      <c r="AT422" s="54"/>
    </row>
    <row r="423">
      <c r="A423" s="35" t="s">
        <v>2701</v>
      </c>
      <c r="B423" s="36" t="s">
        <v>2677</v>
      </c>
      <c r="C423" s="36" t="s">
        <v>2702</v>
      </c>
      <c r="D423" s="36" t="s">
        <v>2703</v>
      </c>
      <c r="E423" s="62" t="s">
        <v>2704</v>
      </c>
      <c r="F423" s="38" t="s">
        <v>2705</v>
      </c>
      <c r="G423" s="61">
        <v>9.5127635E8</v>
      </c>
      <c r="H423" s="40">
        <v>2925.0</v>
      </c>
      <c r="I423" s="40">
        <v>982.0</v>
      </c>
      <c r="J423" s="40" t="s">
        <v>65</v>
      </c>
      <c r="K423" s="41" t="s">
        <v>2706</v>
      </c>
      <c r="L423" s="42" t="s">
        <v>67</v>
      </c>
      <c r="M423" s="41" t="s">
        <v>2683</v>
      </c>
      <c r="N423" s="43" t="s">
        <v>2684</v>
      </c>
      <c r="O423" s="42" t="s">
        <v>2685</v>
      </c>
      <c r="P423" s="45"/>
      <c r="Q423" s="45" t="s">
        <v>67</v>
      </c>
      <c r="R423" s="46">
        <v>1.0</v>
      </c>
      <c r="S423" s="45" t="s">
        <v>67</v>
      </c>
      <c r="T423" s="58"/>
      <c r="U423" s="45" t="s">
        <v>67</v>
      </c>
      <c r="V423" s="45"/>
      <c r="W423" s="156">
        <v>46133.0</v>
      </c>
      <c r="X423" s="49" t="s">
        <v>2707</v>
      </c>
      <c r="Y423" s="49" t="s">
        <v>393</v>
      </c>
      <c r="Z423" s="40" t="s">
        <v>2554</v>
      </c>
      <c r="AA423" s="45" t="s">
        <v>74</v>
      </c>
      <c r="AB423" s="45" t="s">
        <v>67</v>
      </c>
      <c r="AC423" s="45" t="s">
        <v>195</v>
      </c>
      <c r="AD423" s="51" t="s">
        <v>76</v>
      </c>
      <c r="AE423" s="54"/>
      <c r="AF423" s="45" t="s">
        <v>67</v>
      </c>
      <c r="AG423" s="45"/>
      <c r="AH423" s="45">
        <v>0.0</v>
      </c>
      <c r="AI423" s="45"/>
      <c r="AJ423" s="45"/>
      <c r="AK423" s="45"/>
      <c r="AL423" s="45"/>
      <c r="AM423" s="45"/>
      <c r="AN423" s="45">
        <v>0.0</v>
      </c>
      <c r="AO423" s="55"/>
      <c r="AP423" s="185"/>
      <c r="AQ423" s="185"/>
      <c r="AR423" s="54"/>
      <c r="AS423" s="54"/>
      <c r="AT423" s="54"/>
    </row>
    <row r="424" hidden="1">
      <c r="A424" s="163" t="s">
        <v>2708</v>
      </c>
      <c r="B424" s="189" t="s">
        <v>2677</v>
      </c>
      <c r="C424" s="189" t="s">
        <v>2709</v>
      </c>
      <c r="D424" s="189" t="s">
        <v>2710</v>
      </c>
      <c r="E424" s="190" t="s">
        <v>2711</v>
      </c>
      <c r="F424" s="191" t="s">
        <v>2712</v>
      </c>
      <c r="G424" s="189">
        <v>9.46745713E8</v>
      </c>
      <c r="H424" s="192">
        <v>2630.0</v>
      </c>
      <c r="I424" s="192">
        <v>954.0</v>
      </c>
      <c r="J424" s="192" t="s">
        <v>149</v>
      </c>
      <c r="K424" s="193" t="s">
        <v>2713</v>
      </c>
      <c r="L424" s="73" t="s">
        <v>74</v>
      </c>
      <c r="M424" s="193" t="s">
        <v>2683</v>
      </c>
      <c r="N424" s="194" t="s">
        <v>2684</v>
      </c>
      <c r="O424" s="73" t="s">
        <v>2685</v>
      </c>
      <c r="P424" s="196"/>
      <c r="Q424" s="196" t="s">
        <v>67</v>
      </c>
      <c r="R424" s="197">
        <v>1.0</v>
      </c>
      <c r="S424" s="196" t="s">
        <v>74</v>
      </c>
      <c r="T424" s="163" t="s">
        <v>2714</v>
      </c>
      <c r="U424" s="196"/>
      <c r="V424" s="196"/>
      <c r="W424" s="198"/>
      <c r="X424" s="199" t="s">
        <v>205</v>
      </c>
      <c r="Y424" s="199"/>
      <c r="Z424" s="192" t="s">
        <v>2554</v>
      </c>
      <c r="AA424" s="45" t="s">
        <v>74</v>
      </c>
      <c r="AB424" s="45" t="s">
        <v>67</v>
      </c>
      <c r="AC424" s="45"/>
      <c r="AD424" s="51" t="s">
        <v>76</v>
      </c>
      <c r="AE424" s="200"/>
      <c r="AF424" s="196"/>
      <c r="AG424" s="196"/>
      <c r="AH424" s="45">
        <v>0.0</v>
      </c>
      <c r="AI424" s="45"/>
      <c r="AJ424" s="45"/>
      <c r="AK424" s="45"/>
      <c r="AL424" s="45"/>
      <c r="AM424" s="45"/>
      <c r="AN424" s="45">
        <v>0.0</v>
      </c>
      <c r="AO424" s="201"/>
      <c r="AP424" s="200"/>
      <c r="AQ424" s="200"/>
      <c r="AR424" s="200"/>
      <c r="AS424" s="200"/>
      <c r="AT424" s="200"/>
    </row>
    <row r="425">
      <c r="A425" s="35" t="s">
        <v>2715</v>
      </c>
      <c r="B425" s="36" t="s">
        <v>2677</v>
      </c>
      <c r="C425" s="36" t="s">
        <v>2678</v>
      </c>
      <c r="D425" s="36" t="s">
        <v>2716</v>
      </c>
      <c r="E425" s="37" t="s">
        <v>2717</v>
      </c>
      <c r="F425" s="38" t="s">
        <v>2718</v>
      </c>
      <c r="G425" s="61">
        <v>9.4941001E8</v>
      </c>
      <c r="H425" s="40">
        <v>2620.0</v>
      </c>
      <c r="I425" s="40">
        <v>943.0</v>
      </c>
      <c r="J425" s="40" t="s">
        <v>65</v>
      </c>
      <c r="K425" s="42" t="s">
        <v>2719</v>
      </c>
      <c r="L425" s="42" t="s">
        <v>67</v>
      </c>
      <c r="M425" s="53" t="s">
        <v>2683</v>
      </c>
      <c r="N425" s="43" t="s">
        <v>2684</v>
      </c>
      <c r="O425" s="42" t="s">
        <v>2685</v>
      </c>
      <c r="P425" s="45" t="s">
        <v>67</v>
      </c>
      <c r="Q425" s="45" t="s">
        <v>67</v>
      </c>
      <c r="R425" s="46">
        <v>2.0</v>
      </c>
      <c r="S425" s="45" t="s">
        <v>67</v>
      </c>
      <c r="T425" s="64"/>
      <c r="U425" s="45" t="s">
        <v>67</v>
      </c>
      <c r="V425" s="45"/>
      <c r="W425" s="156">
        <v>46133.0</v>
      </c>
      <c r="X425" s="49" t="s">
        <v>2720</v>
      </c>
      <c r="Y425" s="49" t="s">
        <v>393</v>
      </c>
      <c r="Z425" s="40" t="s">
        <v>2554</v>
      </c>
      <c r="AA425" s="45" t="s">
        <v>67</v>
      </c>
      <c r="AB425" s="45" t="s">
        <v>67</v>
      </c>
      <c r="AC425" s="45" t="s">
        <v>458</v>
      </c>
      <c r="AD425" s="51" t="s">
        <v>76</v>
      </c>
      <c r="AE425" s="54"/>
      <c r="AF425" s="45" t="s">
        <v>67</v>
      </c>
      <c r="AG425" s="45"/>
      <c r="AH425" s="45">
        <v>0.0</v>
      </c>
      <c r="AI425" s="45"/>
      <c r="AJ425" s="45"/>
      <c r="AK425" s="45"/>
      <c r="AL425" s="45"/>
      <c r="AM425" s="45"/>
      <c r="AN425" s="45">
        <v>0.0</v>
      </c>
      <c r="AO425" s="55"/>
      <c r="AP425" s="185"/>
      <c r="AQ425" s="185"/>
      <c r="AR425" s="54"/>
      <c r="AS425" s="54"/>
      <c r="AT425" s="54"/>
    </row>
    <row r="426">
      <c r="A426" s="35" t="s">
        <v>2715</v>
      </c>
      <c r="B426" s="36" t="s">
        <v>2677</v>
      </c>
      <c r="C426" s="36" t="s">
        <v>2678</v>
      </c>
      <c r="D426" s="36" t="s">
        <v>2716</v>
      </c>
      <c r="E426" s="62" t="s">
        <v>2721</v>
      </c>
      <c r="F426" s="38" t="s">
        <v>2722</v>
      </c>
      <c r="G426" s="61">
        <v>9.51815345E8</v>
      </c>
      <c r="H426" s="40">
        <v>2532.0</v>
      </c>
      <c r="I426" s="40">
        <v>942.0</v>
      </c>
      <c r="J426" s="40" t="s">
        <v>65</v>
      </c>
      <c r="K426" s="41" t="s">
        <v>2723</v>
      </c>
      <c r="L426" s="42" t="s">
        <v>67</v>
      </c>
      <c r="M426" s="53" t="s">
        <v>2683</v>
      </c>
      <c r="N426" s="43" t="s">
        <v>2684</v>
      </c>
      <c r="O426" s="42" t="s">
        <v>2685</v>
      </c>
      <c r="P426" s="45" t="s">
        <v>67</v>
      </c>
      <c r="Q426" s="45" t="s">
        <v>67</v>
      </c>
      <c r="R426" s="46">
        <v>2.0</v>
      </c>
      <c r="S426" s="45" t="s">
        <v>67</v>
      </c>
      <c r="T426" s="64"/>
      <c r="U426" s="45" t="s">
        <v>67</v>
      </c>
      <c r="V426" s="45"/>
      <c r="W426" s="156">
        <v>46133.0</v>
      </c>
      <c r="X426" s="49" t="s">
        <v>2720</v>
      </c>
      <c r="Y426" s="49" t="s">
        <v>393</v>
      </c>
      <c r="Z426" s="40" t="s">
        <v>2554</v>
      </c>
      <c r="AA426" s="45" t="s">
        <v>67</v>
      </c>
      <c r="AB426" s="45" t="s">
        <v>67</v>
      </c>
      <c r="AC426" s="45" t="s">
        <v>458</v>
      </c>
      <c r="AD426" s="51" t="s">
        <v>76</v>
      </c>
      <c r="AE426" s="54"/>
      <c r="AF426" s="45" t="s">
        <v>67</v>
      </c>
      <c r="AG426" s="45"/>
      <c r="AH426" s="45">
        <v>0.0</v>
      </c>
      <c r="AI426" s="45"/>
      <c r="AJ426" s="45"/>
      <c r="AK426" s="45"/>
      <c r="AL426" s="45"/>
      <c r="AM426" s="45"/>
      <c r="AN426" s="45">
        <v>0.0</v>
      </c>
      <c r="AO426" s="55"/>
      <c r="AP426" s="185"/>
      <c r="AQ426" s="185"/>
      <c r="AR426" s="54"/>
      <c r="AS426" s="54"/>
      <c r="AT426" s="54"/>
    </row>
    <row r="427">
      <c r="A427" s="35" t="s">
        <v>2724</v>
      </c>
      <c r="B427" s="36" t="s">
        <v>2677</v>
      </c>
      <c r="C427" s="36" t="s">
        <v>2725</v>
      </c>
      <c r="D427" s="36" t="s">
        <v>2726</v>
      </c>
      <c r="E427" s="62" t="s">
        <v>2727</v>
      </c>
      <c r="F427" s="38" t="s">
        <v>2728</v>
      </c>
      <c r="G427" s="61">
        <v>9.16040681E8</v>
      </c>
      <c r="H427" s="40">
        <v>2632.0</v>
      </c>
      <c r="I427" s="40">
        <v>957.0</v>
      </c>
      <c r="J427" s="40" t="s">
        <v>65</v>
      </c>
      <c r="K427" s="41" t="s">
        <v>2729</v>
      </c>
      <c r="L427" s="42" t="s">
        <v>67</v>
      </c>
      <c r="M427" s="53" t="s">
        <v>2683</v>
      </c>
      <c r="N427" s="43" t="s">
        <v>2684</v>
      </c>
      <c r="O427" s="42" t="s">
        <v>2685</v>
      </c>
      <c r="P427" s="45" t="s">
        <v>67</v>
      </c>
      <c r="Q427" s="45" t="s">
        <v>67</v>
      </c>
      <c r="R427" s="46">
        <v>1.0</v>
      </c>
      <c r="S427" s="45" t="s">
        <v>67</v>
      </c>
      <c r="T427" s="64"/>
      <c r="U427" s="45" t="s">
        <v>67</v>
      </c>
      <c r="V427" s="45"/>
      <c r="W427" s="156">
        <v>46133.0</v>
      </c>
      <c r="X427" s="49" t="s">
        <v>2730</v>
      </c>
      <c r="Y427" s="49" t="s">
        <v>378</v>
      </c>
      <c r="Z427" s="40" t="s">
        <v>2554</v>
      </c>
      <c r="AA427" s="45" t="s">
        <v>74</v>
      </c>
      <c r="AB427" s="45" t="s">
        <v>67</v>
      </c>
      <c r="AC427" s="45" t="s">
        <v>553</v>
      </c>
      <c r="AD427" s="51" t="s">
        <v>76</v>
      </c>
      <c r="AE427" s="54"/>
      <c r="AF427" s="45" t="s">
        <v>67</v>
      </c>
      <c r="AG427" s="45"/>
      <c r="AH427" s="45">
        <v>0.0</v>
      </c>
      <c r="AI427" s="45"/>
      <c r="AJ427" s="45"/>
      <c r="AK427" s="45"/>
      <c r="AL427" s="45"/>
      <c r="AM427" s="45"/>
      <c r="AN427" s="45">
        <v>0.0</v>
      </c>
      <c r="AO427" s="55"/>
      <c r="AP427" s="185"/>
      <c r="AQ427" s="185"/>
      <c r="AR427" s="54"/>
      <c r="AS427" s="54"/>
      <c r="AT427" s="54"/>
    </row>
    <row r="428">
      <c r="A428" s="35" t="s">
        <v>2731</v>
      </c>
      <c r="B428" s="36" t="s">
        <v>2677</v>
      </c>
      <c r="C428" s="36" t="s">
        <v>2709</v>
      </c>
      <c r="D428" s="36" t="s">
        <v>2732</v>
      </c>
      <c r="E428" s="37" t="s">
        <v>2733</v>
      </c>
      <c r="F428" s="38" t="s">
        <v>2734</v>
      </c>
      <c r="G428" s="61">
        <v>9.49560878E8</v>
      </c>
      <c r="H428" s="40">
        <v>2682.0</v>
      </c>
      <c r="I428" s="40">
        <v>956.0</v>
      </c>
      <c r="J428" s="40" t="s">
        <v>65</v>
      </c>
      <c r="K428" s="42" t="s">
        <v>2735</v>
      </c>
      <c r="L428" s="42" t="s">
        <v>67</v>
      </c>
      <c r="M428" s="41" t="s">
        <v>2683</v>
      </c>
      <c r="N428" s="43" t="s">
        <v>2684</v>
      </c>
      <c r="O428" s="42" t="s">
        <v>2685</v>
      </c>
      <c r="P428" s="45"/>
      <c r="Q428" s="45" t="s">
        <v>67</v>
      </c>
      <c r="R428" s="46">
        <v>1.0</v>
      </c>
      <c r="S428" s="45" t="s">
        <v>67</v>
      </c>
      <c r="T428" s="64"/>
      <c r="U428" s="45" t="s">
        <v>67</v>
      </c>
      <c r="V428" s="45"/>
      <c r="W428" s="156">
        <v>46133.0</v>
      </c>
      <c r="X428" s="49" t="s">
        <v>2736</v>
      </c>
      <c r="Y428" s="49" t="s">
        <v>378</v>
      </c>
      <c r="Z428" s="40" t="s">
        <v>2554</v>
      </c>
      <c r="AA428" s="45" t="s">
        <v>74</v>
      </c>
      <c r="AB428" s="45" t="s">
        <v>67</v>
      </c>
      <c r="AC428" s="45" t="s">
        <v>195</v>
      </c>
      <c r="AD428" s="51" t="s">
        <v>76</v>
      </c>
      <c r="AE428" s="54"/>
      <c r="AF428" s="45" t="s">
        <v>67</v>
      </c>
      <c r="AG428" s="45"/>
      <c r="AH428" s="45">
        <v>0.0</v>
      </c>
      <c r="AI428" s="45"/>
      <c r="AJ428" s="45"/>
      <c r="AK428" s="45"/>
      <c r="AL428" s="45"/>
      <c r="AM428" s="45"/>
      <c r="AN428" s="45">
        <v>0.0</v>
      </c>
      <c r="AO428" s="60" t="s">
        <v>2737</v>
      </c>
      <c r="AP428" s="185"/>
      <c r="AQ428" s="185"/>
      <c r="AR428" s="67"/>
      <c r="AS428" s="67"/>
      <c r="AT428" s="67"/>
    </row>
    <row r="429">
      <c r="A429" s="35" t="s">
        <v>2738</v>
      </c>
      <c r="B429" s="36" t="s">
        <v>2677</v>
      </c>
      <c r="C429" s="36" t="s">
        <v>2678</v>
      </c>
      <c r="D429" s="36" t="s">
        <v>2739</v>
      </c>
      <c r="E429" s="37" t="s">
        <v>2740</v>
      </c>
      <c r="F429" s="38" t="s">
        <v>2741</v>
      </c>
      <c r="G429" s="61">
        <v>9.86028508E8</v>
      </c>
      <c r="H429" s="40">
        <v>2621.0</v>
      </c>
      <c r="I429" s="40">
        <v>944.0</v>
      </c>
      <c r="J429" s="40" t="s">
        <v>65</v>
      </c>
      <c r="K429" s="41" t="s">
        <v>2742</v>
      </c>
      <c r="L429" s="42" t="s">
        <v>67</v>
      </c>
      <c r="M429" s="53" t="s">
        <v>2683</v>
      </c>
      <c r="N429" s="43" t="s">
        <v>2684</v>
      </c>
      <c r="O429" s="42" t="s">
        <v>2685</v>
      </c>
      <c r="P429" s="45" t="s">
        <v>67</v>
      </c>
      <c r="Q429" s="45" t="s">
        <v>67</v>
      </c>
      <c r="R429" s="46">
        <v>2.0</v>
      </c>
      <c r="S429" s="45" t="s">
        <v>67</v>
      </c>
      <c r="T429" s="64"/>
      <c r="U429" s="45" t="s">
        <v>67</v>
      </c>
      <c r="V429" s="45"/>
      <c r="W429" s="156">
        <v>46133.0</v>
      </c>
      <c r="X429" s="49" t="s">
        <v>2743</v>
      </c>
      <c r="Y429" s="49" t="s">
        <v>1240</v>
      </c>
      <c r="Z429" s="40" t="s">
        <v>2554</v>
      </c>
      <c r="AA429" s="45" t="s">
        <v>74</v>
      </c>
      <c r="AB429" s="45" t="s">
        <v>67</v>
      </c>
      <c r="AC429" s="45" t="s">
        <v>195</v>
      </c>
      <c r="AD429" s="51" t="s">
        <v>76</v>
      </c>
      <c r="AE429" s="54"/>
      <c r="AF429" s="45" t="s">
        <v>67</v>
      </c>
      <c r="AG429" s="45"/>
      <c r="AH429" s="45">
        <v>0.0</v>
      </c>
      <c r="AI429" s="45"/>
      <c r="AJ429" s="45"/>
      <c r="AK429" s="45"/>
      <c r="AL429" s="45"/>
      <c r="AM429" s="45"/>
      <c r="AN429" s="45">
        <v>0.0</v>
      </c>
      <c r="AO429" s="60" t="s">
        <v>2744</v>
      </c>
      <c r="AP429" s="185"/>
      <c r="AQ429" s="185"/>
      <c r="AR429" s="54"/>
      <c r="AS429" s="54"/>
      <c r="AT429" s="54"/>
    </row>
    <row r="430">
      <c r="A430" s="35" t="s">
        <v>2745</v>
      </c>
      <c r="B430" s="36" t="s">
        <v>2677</v>
      </c>
      <c r="C430" s="36" t="s">
        <v>2695</v>
      </c>
      <c r="D430" s="36" t="s">
        <v>2746</v>
      </c>
      <c r="E430" s="62" t="s">
        <v>2747</v>
      </c>
      <c r="F430" s="38" t="s">
        <v>2748</v>
      </c>
      <c r="G430" s="61">
        <v>9.33429092E8</v>
      </c>
      <c r="H430" s="40">
        <v>2638.0</v>
      </c>
      <c r="I430" s="40">
        <v>963.0</v>
      </c>
      <c r="J430" s="40" t="s">
        <v>65</v>
      </c>
      <c r="K430" s="42" t="s">
        <v>2749</v>
      </c>
      <c r="L430" s="42" t="s">
        <v>67</v>
      </c>
      <c r="M430" s="53" t="s">
        <v>2683</v>
      </c>
      <c r="N430" s="43" t="s">
        <v>2684</v>
      </c>
      <c r="O430" s="42" t="s">
        <v>2685</v>
      </c>
      <c r="P430" s="45" t="s">
        <v>67</v>
      </c>
      <c r="Q430" s="45" t="s">
        <v>67</v>
      </c>
      <c r="R430" s="46">
        <v>1.0</v>
      </c>
      <c r="S430" s="45" t="s">
        <v>67</v>
      </c>
      <c r="T430" s="58"/>
      <c r="U430" s="45" t="s">
        <v>67</v>
      </c>
      <c r="V430" s="45"/>
      <c r="W430" s="156">
        <v>46133.0</v>
      </c>
      <c r="X430" s="49" t="s">
        <v>2750</v>
      </c>
      <c r="Y430" s="49" t="s">
        <v>393</v>
      </c>
      <c r="Z430" s="40" t="s">
        <v>2554</v>
      </c>
      <c r="AA430" s="45" t="s">
        <v>74</v>
      </c>
      <c r="AB430" s="45" t="s">
        <v>67</v>
      </c>
      <c r="AC430" s="45" t="s">
        <v>195</v>
      </c>
      <c r="AD430" s="51" t="s">
        <v>76</v>
      </c>
      <c r="AE430" s="54"/>
      <c r="AF430" s="45" t="s">
        <v>67</v>
      </c>
      <c r="AG430" s="45"/>
      <c r="AH430" s="45">
        <v>0.0</v>
      </c>
      <c r="AI430" s="45"/>
      <c r="AJ430" s="45"/>
      <c r="AK430" s="45"/>
      <c r="AL430" s="45"/>
      <c r="AM430" s="45"/>
      <c r="AN430" s="45">
        <v>0.0</v>
      </c>
      <c r="AO430" s="55"/>
      <c r="AP430" s="185"/>
      <c r="AQ430" s="185"/>
      <c r="AR430" s="54"/>
      <c r="AS430" s="54"/>
      <c r="AT430" s="54"/>
    </row>
    <row r="431">
      <c r="A431" s="35" t="s">
        <v>2751</v>
      </c>
      <c r="B431" s="36" t="s">
        <v>2677</v>
      </c>
      <c r="C431" s="36" t="s">
        <v>2688</v>
      </c>
      <c r="D431" s="36" t="s">
        <v>2752</v>
      </c>
      <c r="E431" s="62" t="s">
        <v>2753</v>
      </c>
      <c r="F431" s="38" t="s">
        <v>2754</v>
      </c>
      <c r="G431" s="61">
        <v>9.10978454E8</v>
      </c>
      <c r="H431" s="40">
        <v>2643.0</v>
      </c>
      <c r="I431" s="40">
        <v>968.0</v>
      </c>
      <c r="J431" s="40" t="s">
        <v>65</v>
      </c>
      <c r="K431" s="41" t="s">
        <v>2755</v>
      </c>
      <c r="L431" s="42" t="s">
        <v>67</v>
      </c>
      <c r="M431" s="53" t="s">
        <v>2683</v>
      </c>
      <c r="N431" s="43" t="s">
        <v>2684</v>
      </c>
      <c r="O431" s="42" t="s">
        <v>2685</v>
      </c>
      <c r="P431" s="45" t="s">
        <v>67</v>
      </c>
      <c r="Q431" s="45" t="s">
        <v>67</v>
      </c>
      <c r="R431" s="46">
        <v>2.0</v>
      </c>
      <c r="S431" s="45" t="s">
        <v>67</v>
      </c>
      <c r="T431" s="64"/>
      <c r="U431" s="45" t="s">
        <v>67</v>
      </c>
      <c r="V431" s="45"/>
      <c r="W431" s="156">
        <v>46133.0</v>
      </c>
      <c r="X431" s="49" t="s">
        <v>2756</v>
      </c>
      <c r="Y431" s="49" t="s">
        <v>2477</v>
      </c>
      <c r="Z431" s="40" t="s">
        <v>2554</v>
      </c>
      <c r="AA431" s="45" t="s">
        <v>74</v>
      </c>
      <c r="AB431" s="45" t="s">
        <v>67</v>
      </c>
      <c r="AC431" s="45" t="s">
        <v>96</v>
      </c>
      <c r="AD431" s="51" t="s">
        <v>76</v>
      </c>
      <c r="AE431" s="54"/>
      <c r="AF431" s="45" t="s">
        <v>67</v>
      </c>
      <c r="AG431" s="45"/>
      <c r="AH431" s="45">
        <v>0.0</v>
      </c>
      <c r="AI431" s="45"/>
      <c r="AJ431" s="45"/>
      <c r="AK431" s="45"/>
      <c r="AL431" s="45"/>
      <c r="AM431" s="45"/>
      <c r="AN431" s="45">
        <v>0.0</v>
      </c>
      <c r="AO431" s="55"/>
      <c r="AP431" s="185"/>
      <c r="AQ431" s="185"/>
      <c r="AR431" s="54"/>
      <c r="AS431" s="54"/>
      <c r="AT431" s="54"/>
    </row>
    <row r="432">
      <c r="A432" s="35" t="s">
        <v>2757</v>
      </c>
      <c r="B432" s="36" t="s">
        <v>2677</v>
      </c>
      <c r="C432" s="36" t="s">
        <v>2758</v>
      </c>
      <c r="D432" s="36" t="s">
        <v>2759</v>
      </c>
      <c r="E432" s="62" t="s">
        <v>2760</v>
      </c>
      <c r="F432" s="38" t="s">
        <v>2761</v>
      </c>
      <c r="G432" s="61">
        <v>9.91001578E8</v>
      </c>
      <c r="H432" s="40">
        <v>2627.0</v>
      </c>
      <c r="I432" s="40">
        <v>950.0</v>
      </c>
      <c r="J432" s="40" t="s">
        <v>65</v>
      </c>
      <c r="K432" s="41" t="s">
        <v>2762</v>
      </c>
      <c r="L432" s="42" t="s">
        <v>67</v>
      </c>
      <c r="M432" s="53" t="s">
        <v>2683</v>
      </c>
      <c r="N432" s="43" t="s">
        <v>2684</v>
      </c>
      <c r="O432" s="42" t="s">
        <v>2685</v>
      </c>
      <c r="P432" s="45" t="s">
        <v>67</v>
      </c>
      <c r="Q432" s="45" t="s">
        <v>67</v>
      </c>
      <c r="R432" s="46">
        <v>2.0</v>
      </c>
      <c r="S432" s="45" t="s">
        <v>67</v>
      </c>
      <c r="T432" s="64"/>
      <c r="U432" s="45" t="s">
        <v>67</v>
      </c>
      <c r="V432" s="45"/>
      <c r="W432" s="156">
        <v>46133.0</v>
      </c>
      <c r="X432" s="49" t="s">
        <v>2763</v>
      </c>
      <c r="Y432" s="49" t="s">
        <v>2430</v>
      </c>
      <c r="Z432" s="40" t="s">
        <v>2554</v>
      </c>
      <c r="AA432" s="45" t="s">
        <v>74</v>
      </c>
      <c r="AB432" s="45" t="s">
        <v>67</v>
      </c>
      <c r="AC432" s="45" t="s">
        <v>458</v>
      </c>
      <c r="AD432" s="51" t="s">
        <v>76</v>
      </c>
      <c r="AE432" s="54"/>
      <c r="AF432" s="45" t="s">
        <v>67</v>
      </c>
      <c r="AG432" s="45"/>
      <c r="AH432" s="45">
        <v>0.0</v>
      </c>
      <c r="AI432" s="45"/>
      <c r="AJ432" s="45"/>
      <c r="AK432" s="45"/>
      <c r="AL432" s="45"/>
      <c r="AM432" s="45"/>
      <c r="AN432" s="45">
        <v>0.0</v>
      </c>
      <c r="AO432" s="55"/>
      <c r="AP432" s="185"/>
      <c r="AQ432" s="185"/>
      <c r="AR432" s="54"/>
      <c r="AS432" s="54"/>
      <c r="AT432" s="54"/>
    </row>
    <row r="433">
      <c r="A433" s="35" t="s">
        <v>2757</v>
      </c>
      <c r="B433" s="36" t="s">
        <v>2677</v>
      </c>
      <c r="C433" s="36" t="s">
        <v>2758</v>
      </c>
      <c r="D433" s="36" t="s">
        <v>2759</v>
      </c>
      <c r="E433" s="62" t="s">
        <v>2764</v>
      </c>
      <c r="F433" s="38" t="s">
        <v>2765</v>
      </c>
      <c r="G433" s="61">
        <v>9.5829305E8</v>
      </c>
      <c r="H433" s="40">
        <v>2628.0</v>
      </c>
      <c r="I433" s="40">
        <v>951.0</v>
      </c>
      <c r="J433" s="40" t="s">
        <v>65</v>
      </c>
      <c r="K433" s="42" t="s">
        <v>2766</v>
      </c>
      <c r="L433" s="42" t="s">
        <v>67</v>
      </c>
      <c r="M433" s="53" t="s">
        <v>2683</v>
      </c>
      <c r="N433" s="43" t="s">
        <v>2684</v>
      </c>
      <c r="O433" s="42" t="s">
        <v>2685</v>
      </c>
      <c r="P433" s="45" t="s">
        <v>67</v>
      </c>
      <c r="Q433" s="45" t="s">
        <v>67</v>
      </c>
      <c r="R433" s="46">
        <v>2.0</v>
      </c>
      <c r="S433" s="45" t="s">
        <v>67</v>
      </c>
      <c r="T433" s="64"/>
      <c r="U433" s="45" t="s">
        <v>67</v>
      </c>
      <c r="V433" s="45"/>
      <c r="W433" s="156">
        <v>46133.0</v>
      </c>
      <c r="X433" s="49" t="s">
        <v>2763</v>
      </c>
      <c r="Y433" s="49" t="s">
        <v>2430</v>
      </c>
      <c r="Z433" s="40" t="s">
        <v>2554</v>
      </c>
      <c r="AA433" s="45" t="s">
        <v>74</v>
      </c>
      <c r="AB433" s="45" t="s">
        <v>67</v>
      </c>
      <c r="AC433" s="45" t="s">
        <v>458</v>
      </c>
      <c r="AD433" s="51" t="s">
        <v>76</v>
      </c>
      <c r="AE433" s="54"/>
      <c r="AF433" s="45" t="s">
        <v>67</v>
      </c>
      <c r="AG433" s="45"/>
      <c r="AH433" s="45">
        <v>0.0</v>
      </c>
      <c r="AI433" s="45"/>
      <c r="AJ433" s="45"/>
      <c r="AK433" s="45"/>
      <c r="AL433" s="45"/>
      <c r="AM433" s="45"/>
      <c r="AN433" s="45">
        <v>0.0</v>
      </c>
      <c r="AO433" s="55"/>
      <c r="AP433" s="185"/>
      <c r="AQ433" s="185"/>
      <c r="AR433" s="54"/>
      <c r="AS433" s="54"/>
      <c r="AT433" s="54"/>
    </row>
    <row r="434">
      <c r="A434" s="35" t="s">
        <v>2767</v>
      </c>
      <c r="B434" s="36" t="s">
        <v>2677</v>
      </c>
      <c r="C434" s="36" t="s">
        <v>2768</v>
      </c>
      <c r="D434" s="203" t="s">
        <v>2769</v>
      </c>
      <c r="E434" s="62" t="s">
        <v>2770</v>
      </c>
      <c r="F434" s="38" t="s">
        <v>2771</v>
      </c>
      <c r="G434" s="61">
        <v>9.04841468E8</v>
      </c>
      <c r="H434" s="40">
        <v>2920.0</v>
      </c>
      <c r="I434" s="40">
        <v>977.0</v>
      </c>
      <c r="J434" s="40" t="s">
        <v>65</v>
      </c>
      <c r="K434" s="41" t="s">
        <v>2772</v>
      </c>
      <c r="L434" s="42" t="s">
        <v>67</v>
      </c>
      <c r="M434" s="41" t="s">
        <v>2683</v>
      </c>
      <c r="N434" s="43" t="s">
        <v>2684</v>
      </c>
      <c r="O434" s="42" t="s">
        <v>2685</v>
      </c>
      <c r="P434" s="45"/>
      <c r="Q434" s="45" t="s">
        <v>67</v>
      </c>
      <c r="R434" s="46">
        <v>1.0</v>
      </c>
      <c r="S434" s="45" t="s">
        <v>67</v>
      </c>
      <c r="T434" s="64"/>
      <c r="U434" s="45" t="s">
        <v>67</v>
      </c>
      <c r="V434" s="45"/>
      <c r="W434" s="68">
        <v>46133.0</v>
      </c>
      <c r="X434" s="49" t="s">
        <v>2773</v>
      </c>
      <c r="Y434" s="49" t="s">
        <v>893</v>
      </c>
      <c r="Z434" s="40" t="s">
        <v>2774</v>
      </c>
      <c r="AA434" s="45" t="s">
        <v>74</v>
      </c>
      <c r="AB434" s="45" t="s">
        <v>67</v>
      </c>
      <c r="AC434" s="45" t="s">
        <v>135</v>
      </c>
      <c r="AD434" s="51" t="s">
        <v>76</v>
      </c>
      <c r="AE434" s="54"/>
      <c r="AF434" s="45" t="s">
        <v>67</v>
      </c>
      <c r="AG434" s="45"/>
      <c r="AH434" s="45">
        <v>29.0</v>
      </c>
      <c r="AI434" s="45">
        <v>14.0</v>
      </c>
      <c r="AJ434" s="45"/>
      <c r="AK434" s="45"/>
      <c r="AL434" s="45"/>
      <c r="AM434" s="45"/>
      <c r="AN434" s="45">
        <v>0.0</v>
      </c>
      <c r="AO434" s="55"/>
      <c r="AP434" s="54"/>
      <c r="AQ434" s="54"/>
      <c r="AR434" s="54"/>
      <c r="AS434" s="54"/>
      <c r="AT434" s="54"/>
    </row>
    <row r="435">
      <c r="A435" s="35" t="s">
        <v>2775</v>
      </c>
      <c r="B435" s="36" t="s">
        <v>2677</v>
      </c>
      <c r="C435" s="36" t="s">
        <v>2725</v>
      </c>
      <c r="D435" s="36" t="s">
        <v>2776</v>
      </c>
      <c r="E435" s="62" t="s">
        <v>2777</v>
      </c>
      <c r="F435" s="38" t="s">
        <v>2778</v>
      </c>
      <c r="G435" s="61">
        <v>9.58075353E8</v>
      </c>
      <c r="H435" s="40">
        <v>2922.0</v>
      </c>
      <c r="I435" s="40">
        <v>979.0</v>
      </c>
      <c r="J435" s="40" t="s">
        <v>65</v>
      </c>
      <c r="K435" s="41" t="s">
        <v>2779</v>
      </c>
      <c r="L435" s="42" t="s">
        <v>67</v>
      </c>
      <c r="M435" s="41" t="s">
        <v>2683</v>
      </c>
      <c r="N435" s="43" t="s">
        <v>2684</v>
      </c>
      <c r="O435" s="42" t="s">
        <v>2685</v>
      </c>
      <c r="P435" s="45"/>
      <c r="Q435" s="45" t="s">
        <v>67</v>
      </c>
      <c r="R435" s="46">
        <v>1.0</v>
      </c>
      <c r="S435" s="45" t="s">
        <v>67</v>
      </c>
      <c r="T435" s="64"/>
      <c r="U435" s="45" t="s">
        <v>67</v>
      </c>
      <c r="V435" s="45"/>
      <c r="W435" s="68">
        <v>46133.0</v>
      </c>
      <c r="X435" s="49" t="s">
        <v>2780</v>
      </c>
      <c r="Y435" s="49" t="s">
        <v>893</v>
      </c>
      <c r="Z435" s="40" t="s">
        <v>2774</v>
      </c>
      <c r="AA435" s="45" t="s">
        <v>74</v>
      </c>
      <c r="AB435" s="45" t="s">
        <v>67</v>
      </c>
      <c r="AC435" s="45" t="s">
        <v>458</v>
      </c>
      <c r="AD435" s="51" t="s">
        <v>76</v>
      </c>
      <c r="AE435" s="54"/>
      <c r="AF435" s="45" t="s">
        <v>67</v>
      </c>
      <c r="AG435" s="45"/>
      <c r="AH435" s="45">
        <v>19.0</v>
      </c>
      <c r="AI435" s="45">
        <v>5.0</v>
      </c>
      <c r="AJ435" s="45"/>
      <c r="AK435" s="45"/>
      <c r="AL435" s="45"/>
      <c r="AM435" s="45"/>
      <c r="AN435" s="45">
        <v>0.0</v>
      </c>
      <c r="AO435" s="55"/>
      <c r="AP435" s="54"/>
      <c r="AQ435" s="54"/>
      <c r="AR435" s="54"/>
      <c r="AS435" s="54"/>
      <c r="AT435" s="54"/>
    </row>
    <row r="436">
      <c r="A436" s="35" t="s">
        <v>2781</v>
      </c>
      <c r="B436" s="36" t="s">
        <v>2677</v>
      </c>
      <c r="C436" s="36" t="s">
        <v>2678</v>
      </c>
      <c r="D436" s="36" t="s">
        <v>2782</v>
      </c>
      <c r="E436" s="62" t="s">
        <v>2783</v>
      </c>
      <c r="F436" s="38" t="s">
        <v>2784</v>
      </c>
      <c r="G436" s="61">
        <v>9.239422E8</v>
      </c>
      <c r="H436" s="40">
        <v>2622.0</v>
      </c>
      <c r="I436" s="40">
        <v>945.0</v>
      </c>
      <c r="J436" s="40" t="s">
        <v>65</v>
      </c>
      <c r="K436" s="42" t="s">
        <v>2785</v>
      </c>
      <c r="L436" s="42" t="s">
        <v>74</v>
      </c>
      <c r="M436" s="41" t="s">
        <v>2683</v>
      </c>
      <c r="N436" s="43" t="s">
        <v>2684</v>
      </c>
      <c r="O436" s="42" t="s">
        <v>2685</v>
      </c>
      <c r="P436" s="45"/>
      <c r="Q436" s="45" t="s">
        <v>67</v>
      </c>
      <c r="R436" s="46">
        <v>1.0</v>
      </c>
      <c r="S436" s="45" t="s">
        <v>67</v>
      </c>
      <c r="T436" s="64"/>
      <c r="U436" s="45" t="s">
        <v>67</v>
      </c>
      <c r="V436" s="45"/>
      <c r="W436" s="68">
        <v>46133.0</v>
      </c>
      <c r="X436" s="49" t="s">
        <v>1191</v>
      </c>
      <c r="Y436" s="49" t="s">
        <v>2786</v>
      </c>
      <c r="Z436" s="40" t="s">
        <v>2774</v>
      </c>
      <c r="AA436" s="45" t="s">
        <v>74</v>
      </c>
      <c r="AB436" s="45" t="s">
        <v>67</v>
      </c>
      <c r="AC436" s="45" t="s">
        <v>135</v>
      </c>
      <c r="AD436" s="51" t="s">
        <v>76</v>
      </c>
      <c r="AE436" s="54"/>
      <c r="AF436" s="45" t="s">
        <v>67</v>
      </c>
      <c r="AG436" s="45"/>
      <c r="AH436" s="45">
        <v>23.0</v>
      </c>
      <c r="AI436" s="45">
        <v>10.0</v>
      </c>
      <c r="AJ436" s="45"/>
      <c r="AK436" s="45"/>
      <c r="AL436" s="45"/>
      <c r="AM436" s="45"/>
      <c r="AN436" s="45">
        <v>0.0</v>
      </c>
      <c r="AO436" s="55"/>
      <c r="AP436" s="54"/>
      <c r="AQ436" s="54"/>
      <c r="AR436" s="54"/>
      <c r="AS436" s="54"/>
      <c r="AT436" s="54"/>
    </row>
    <row r="437">
      <c r="A437" s="35" t="s">
        <v>2781</v>
      </c>
      <c r="B437" s="36" t="s">
        <v>2677</v>
      </c>
      <c r="C437" s="36" t="s">
        <v>2678</v>
      </c>
      <c r="D437" s="36" t="s">
        <v>2782</v>
      </c>
      <c r="E437" s="62" t="s">
        <v>2787</v>
      </c>
      <c r="F437" s="38" t="s">
        <v>2788</v>
      </c>
      <c r="G437" s="61">
        <v>9.36690625E8</v>
      </c>
      <c r="H437" s="40">
        <v>2623.0</v>
      </c>
      <c r="I437" s="40">
        <v>946.0</v>
      </c>
      <c r="J437" s="40" t="s">
        <v>65</v>
      </c>
      <c r="K437" s="41" t="s">
        <v>2789</v>
      </c>
      <c r="L437" s="42" t="s">
        <v>67</v>
      </c>
      <c r="M437" s="41" t="s">
        <v>2683</v>
      </c>
      <c r="N437" s="43" t="s">
        <v>2684</v>
      </c>
      <c r="O437" s="42" t="s">
        <v>2685</v>
      </c>
      <c r="P437" s="45"/>
      <c r="Q437" s="45" t="s">
        <v>67</v>
      </c>
      <c r="R437" s="46">
        <v>1.0</v>
      </c>
      <c r="S437" s="45" t="s">
        <v>67</v>
      </c>
      <c r="T437" s="64"/>
      <c r="U437" s="45" t="s">
        <v>67</v>
      </c>
      <c r="V437" s="45"/>
      <c r="W437" s="68">
        <v>46133.0</v>
      </c>
      <c r="X437" s="49" t="s">
        <v>1191</v>
      </c>
      <c r="Y437" s="49" t="s">
        <v>2786</v>
      </c>
      <c r="Z437" s="40" t="s">
        <v>2774</v>
      </c>
      <c r="AA437" s="45" t="s">
        <v>74</v>
      </c>
      <c r="AB437" s="45" t="s">
        <v>67</v>
      </c>
      <c r="AC437" s="45" t="s">
        <v>135</v>
      </c>
      <c r="AD437" s="51" t="s">
        <v>76</v>
      </c>
      <c r="AE437" s="54"/>
      <c r="AF437" s="45" t="s">
        <v>67</v>
      </c>
      <c r="AG437" s="45"/>
      <c r="AH437" s="45">
        <v>0.0</v>
      </c>
      <c r="AI437" s="45">
        <v>0.0</v>
      </c>
      <c r="AJ437" s="45"/>
      <c r="AK437" s="45"/>
      <c r="AL437" s="45"/>
      <c r="AM437" s="45"/>
      <c r="AN437" s="45">
        <v>0.0</v>
      </c>
      <c r="AO437" s="55"/>
      <c r="AP437" s="54"/>
      <c r="AQ437" s="54"/>
      <c r="AR437" s="54"/>
      <c r="AS437" s="54"/>
      <c r="AT437" s="54"/>
    </row>
    <row r="438">
      <c r="A438" s="35" t="s">
        <v>2790</v>
      </c>
      <c r="B438" s="36" t="s">
        <v>2677</v>
      </c>
      <c r="C438" s="36" t="s">
        <v>2688</v>
      </c>
      <c r="D438" s="36" t="s">
        <v>2791</v>
      </c>
      <c r="E438" s="62" t="s">
        <v>2792</v>
      </c>
      <c r="F438" s="38" t="s">
        <v>2793</v>
      </c>
      <c r="G438" s="61">
        <v>9.92978099E8</v>
      </c>
      <c r="H438" s="40">
        <v>2644.0</v>
      </c>
      <c r="I438" s="40">
        <v>969.0</v>
      </c>
      <c r="J438" s="40" t="s">
        <v>65</v>
      </c>
      <c r="K438" s="42" t="s">
        <v>2794</v>
      </c>
      <c r="L438" s="42" t="s">
        <v>67</v>
      </c>
      <c r="M438" s="53" t="s">
        <v>2795</v>
      </c>
      <c r="N438" s="43" t="s">
        <v>2796</v>
      </c>
      <c r="O438" s="44">
        <v>0.0</v>
      </c>
      <c r="P438" s="45" t="s">
        <v>67</v>
      </c>
      <c r="Q438" s="45" t="s">
        <v>67</v>
      </c>
      <c r="R438" s="46">
        <v>2.0</v>
      </c>
      <c r="S438" s="45" t="s">
        <v>67</v>
      </c>
      <c r="T438" s="64"/>
      <c r="U438" s="45" t="s">
        <v>67</v>
      </c>
      <c r="V438" s="45"/>
      <c r="W438" s="68">
        <v>46133.0</v>
      </c>
      <c r="X438" s="49" t="s">
        <v>2797</v>
      </c>
      <c r="Y438" s="49" t="s">
        <v>1240</v>
      </c>
      <c r="Z438" s="40" t="s">
        <v>2774</v>
      </c>
      <c r="AA438" s="45" t="s">
        <v>74</v>
      </c>
      <c r="AB438" s="45" t="s">
        <v>67</v>
      </c>
      <c r="AC438" s="45" t="s">
        <v>86</v>
      </c>
      <c r="AD438" s="51" t="s">
        <v>76</v>
      </c>
      <c r="AE438" s="54"/>
      <c r="AF438" s="45" t="s">
        <v>67</v>
      </c>
      <c r="AG438" s="45"/>
      <c r="AH438" s="45">
        <v>12.0</v>
      </c>
      <c r="AI438" s="45">
        <v>11.0</v>
      </c>
      <c r="AJ438" s="45"/>
      <c r="AK438" s="45"/>
      <c r="AL438" s="45"/>
      <c r="AM438" s="45"/>
      <c r="AN438" s="45">
        <v>0.0</v>
      </c>
      <c r="AO438" s="55"/>
      <c r="AP438" s="54"/>
      <c r="AQ438" s="54"/>
      <c r="AR438" s="54"/>
      <c r="AS438" s="54"/>
      <c r="AT438" s="54"/>
    </row>
    <row r="439">
      <c r="A439" s="35" t="s">
        <v>2790</v>
      </c>
      <c r="B439" s="36" t="s">
        <v>2677</v>
      </c>
      <c r="C439" s="36" t="s">
        <v>2688</v>
      </c>
      <c r="D439" s="36" t="s">
        <v>2791</v>
      </c>
      <c r="E439" s="62" t="s">
        <v>2798</v>
      </c>
      <c r="F439" s="38" t="s">
        <v>2799</v>
      </c>
      <c r="G439" s="61">
        <v>9.0053901E8</v>
      </c>
      <c r="H439" s="40">
        <v>2645.0</v>
      </c>
      <c r="I439" s="40">
        <v>970.0</v>
      </c>
      <c r="J439" s="40" t="s">
        <v>65</v>
      </c>
      <c r="K439" s="41" t="s">
        <v>2800</v>
      </c>
      <c r="L439" s="42" t="s">
        <v>67</v>
      </c>
      <c r="M439" s="53" t="s">
        <v>2795</v>
      </c>
      <c r="N439" s="43" t="s">
        <v>2796</v>
      </c>
      <c r="O439" s="44">
        <v>0.0</v>
      </c>
      <c r="P439" s="45" t="s">
        <v>67</v>
      </c>
      <c r="Q439" s="45" t="s">
        <v>67</v>
      </c>
      <c r="R439" s="46">
        <v>2.0</v>
      </c>
      <c r="S439" s="45" t="s">
        <v>67</v>
      </c>
      <c r="T439" s="64"/>
      <c r="U439" s="45" t="s">
        <v>67</v>
      </c>
      <c r="V439" s="45"/>
      <c r="W439" s="68">
        <v>46133.0</v>
      </c>
      <c r="X439" s="49" t="s">
        <v>2797</v>
      </c>
      <c r="Y439" s="49" t="s">
        <v>1631</v>
      </c>
      <c r="Z439" s="40" t="s">
        <v>2774</v>
      </c>
      <c r="AA439" s="45" t="s">
        <v>74</v>
      </c>
      <c r="AB439" s="45" t="s">
        <v>67</v>
      </c>
      <c r="AC439" s="45" t="s">
        <v>86</v>
      </c>
      <c r="AD439" s="51" t="s">
        <v>76</v>
      </c>
      <c r="AE439" s="54"/>
      <c r="AF439" s="45" t="s">
        <v>67</v>
      </c>
      <c r="AG439" s="45"/>
      <c r="AH439" s="45">
        <v>0.0</v>
      </c>
      <c r="AI439" s="45">
        <v>0.0</v>
      </c>
      <c r="AJ439" s="45"/>
      <c r="AK439" s="45"/>
      <c r="AL439" s="45"/>
      <c r="AM439" s="45"/>
      <c r="AN439" s="45">
        <v>0.0</v>
      </c>
      <c r="AO439" s="55"/>
      <c r="AP439" s="54"/>
      <c r="AQ439" s="54"/>
      <c r="AR439" s="54"/>
      <c r="AS439" s="54"/>
      <c r="AT439" s="54"/>
    </row>
    <row r="440">
      <c r="A440" s="35" t="s">
        <v>2801</v>
      </c>
      <c r="B440" s="36" t="s">
        <v>2677</v>
      </c>
      <c r="C440" s="36" t="s">
        <v>2695</v>
      </c>
      <c r="D440" s="36" t="s">
        <v>2802</v>
      </c>
      <c r="E440" s="62" t="s">
        <v>2803</v>
      </c>
      <c r="F440" s="38" t="s">
        <v>2804</v>
      </c>
      <c r="G440" s="61">
        <v>9.93961377E8</v>
      </c>
      <c r="H440" s="40">
        <v>2639.0</v>
      </c>
      <c r="I440" s="40">
        <v>964.0</v>
      </c>
      <c r="J440" s="40" t="s">
        <v>65</v>
      </c>
      <c r="K440" s="41" t="s">
        <v>2805</v>
      </c>
      <c r="L440" s="42" t="s">
        <v>67</v>
      </c>
      <c r="M440" s="41" t="s">
        <v>2683</v>
      </c>
      <c r="N440" s="43" t="s">
        <v>2684</v>
      </c>
      <c r="O440" s="42" t="s">
        <v>2685</v>
      </c>
      <c r="P440" s="45"/>
      <c r="Q440" s="45" t="s">
        <v>67</v>
      </c>
      <c r="R440" s="46">
        <v>1.0</v>
      </c>
      <c r="S440" s="45" t="s">
        <v>67</v>
      </c>
      <c r="T440" s="64"/>
      <c r="U440" s="45" t="s">
        <v>67</v>
      </c>
      <c r="V440" s="45"/>
      <c r="W440" s="68">
        <v>46133.0</v>
      </c>
      <c r="X440" s="49" t="s">
        <v>2806</v>
      </c>
      <c r="Y440" s="49" t="s">
        <v>893</v>
      </c>
      <c r="Z440" s="40" t="s">
        <v>2774</v>
      </c>
      <c r="AA440" s="45" t="s">
        <v>74</v>
      </c>
      <c r="AB440" s="45" t="s">
        <v>67</v>
      </c>
      <c r="AC440" s="45" t="s">
        <v>287</v>
      </c>
      <c r="AD440" s="51" t="s">
        <v>76</v>
      </c>
      <c r="AE440" s="54"/>
      <c r="AF440" s="45" t="s">
        <v>67</v>
      </c>
      <c r="AG440" s="45"/>
      <c r="AH440" s="45">
        <v>11.0</v>
      </c>
      <c r="AI440" s="45">
        <v>13.0</v>
      </c>
      <c r="AJ440" s="45"/>
      <c r="AK440" s="45"/>
      <c r="AL440" s="45"/>
      <c r="AM440" s="45"/>
      <c r="AN440" s="45">
        <v>0.0</v>
      </c>
      <c r="AO440" s="55"/>
      <c r="AP440" s="54"/>
      <c r="AQ440" s="54"/>
      <c r="AR440" s="54"/>
      <c r="AS440" s="54"/>
      <c r="AT440" s="54"/>
    </row>
    <row r="441">
      <c r="A441" s="35" t="s">
        <v>2807</v>
      </c>
      <c r="B441" s="36" t="s">
        <v>2677</v>
      </c>
      <c r="C441" s="36" t="s">
        <v>2678</v>
      </c>
      <c r="D441" s="36" t="s">
        <v>2808</v>
      </c>
      <c r="E441" s="62" t="s">
        <v>2809</v>
      </c>
      <c r="F441" s="38" t="s">
        <v>2810</v>
      </c>
      <c r="G441" s="61">
        <v>9.8833701E8</v>
      </c>
      <c r="H441" s="40">
        <v>2805.0</v>
      </c>
      <c r="I441" s="40">
        <v>940.0</v>
      </c>
      <c r="J441" s="40" t="s">
        <v>65</v>
      </c>
      <c r="K441" s="42" t="s">
        <v>2811</v>
      </c>
      <c r="L441" s="42" t="s">
        <v>67</v>
      </c>
      <c r="M441" s="41" t="s">
        <v>2683</v>
      </c>
      <c r="N441" s="43" t="s">
        <v>2684</v>
      </c>
      <c r="O441" s="42" t="s">
        <v>2685</v>
      </c>
      <c r="P441" s="45"/>
      <c r="Q441" s="45" t="s">
        <v>67</v>
      </c>
      <c r="R441" s="46">
        <v>1.0</v>
      </c>
      <c r="S441" s="45" t="s">
        <v>67</v>
      </c>
      <c r="T441" s="64"/>
      <c r="U441" s="45" t="s">
        <v>67</v>
      </c>
      <c r="V441" s="45"/>
      <c r="W441" s="68">
        <v>46133.0</v>
      </c>
      <c r="X441" s="49" t="s">
        <v>2812</v>
      </c>
      <c r="Y441" s="49" t="s">
        <v>378</v>
      </c>
      <c r="Z441" s="40" t="s">
        <v>2774</v>
      </c>
      <c r="AA441" s="45" t="s">
        <v>74</v>
      </c>
      <c r="AB441" s="45" t="s">
        <v>67</v>
      </c>
      <c r="AC441" s="45" t="s">
        <v>149</v>
      </c>
      <c r="AD441" s="51" t="s">
        <v>76</v>
      </c>
      <c r="AE441" s="54"/>
      <c r="AF441" s="45" t="s">
        <v>67</v>
      </c>
      <c r="AG441" s="45"/>
      <c r="AH441" s="45">
        <v>21.0</v>
      </c>
      <c r="AI441" s="45">
        <v>19.0</v>
      </c>
      <c r="AJ441" s="45"/>
      <c r="AK441" s="45"/>
      <c r="AL441" s="45"/>
      <c r="AM441" s="45"/>
      <c r="AN441" s="45">
        <v>0.0</v>
      </c>
      <c r="AO441" s="55"/>
      <c r="AP441" s="54"/>
      <c r="AQ441" s="54"/>
      <c r="AR441" s="54"/>
      <c r="AS441" s="54"/>
      <c r="AT441" s="54"/>
    </row>
    <row r="442">
      <c r="A442" s="35" t="s">
        <v>2813</v>
      </c>
      <c r="B442" s="36" t="s">
        <v>2677</v>
      </c>
      <c r="C442" s="36" t="s">
        <v>1874</v>
      </c>
      <c r="D442" s="36" t="s">
        <v>2814</v>
      </c>
      <c r="E442" s="62" t="s">
        <v>2815</v>
      </c>
      <c r="F442" s="38" t="s">
        <v>2816</v>
      </c>
      <c r="G442" s="61">
        <v>9.40251456E8</v>
      </c>
      <c r="H442" s="40">
        <v>2927.0</v>
      </c>
      <c r="I442" s="40">
        <v>984.0</v>
      </c>
      <c r="J442" s="40" t="s">
        <v>65</v>
      </c>
      <c r="K442" s="41" t="s">
        <v>2817</v>
      </c>
      <c r="L442" s="42" t="s">
        <v>67</v>
      </c>
      <c r="M442" s="41" t="s">
        <v>2683</v>
      </c>
      <c r="N442" s="43" t="s">
        <v>2684</v>
      </c>
      <c r="O442" s="42" t="s">
        <v>2685</v>
      </c>
      <c r="P442" s="45"/>
      <c r="Q442" s="45" t="s">
        <v>67</v>
      </c>
      <c r="R442" s="46">
        <v>1.0</v>
      </c>
      <c r="S442" s="45" t="s">
        <v>67</v>
      </c>
      <c r="T442" s="64"/>
      <c r="U442" s="45" t="s">
        <v>67</v>
      </c>
      <c r="V442" s="45"/>
      <c r="W442" s="68">
        <v>46133.0</v>
      </c>
      <c r="X442" s="49" t="s">
        <v>2806</v>
      </c>
      <c r="Y442" s="49" t="s">
        <v>378</v>
      </c>
      <c r="Z442" s="40" t="s">
        <v>2774</v>
      </c>
      <c r="AA442" s="45" t="s">
        <v>74</v>
      </c>
      <c r="AB442" s="45" t="s">
        <v>67</v>
      </c>
      <c r="AC442" s="45" t="s">
        <v>620</v>
      </c>
      <c r="AD442" s="51" t="s">
        <v>76</v>
      </c>
      <c r="AE442" s="54"/>
      <c r="AF442" s="45" t="s">
        <v>67</v>
      </c>
      <c r="AG442" s="45"/>
      <c r="AH442" s="45">
        <v>27.0</v>
      </c>
      <c r="AI442" s="45">
        <v>21.0</v>
      </c>
      <c r="AJ442" s="45"/>
      <c r="AK442" s="45"/>
      <c r="AL442" s="45"/>
      <c r="AM442" s="45"/>
      <c r="AN442" s="45">
        <v>0.0</v>
      </c>
      <c r="AO442" s="55"/>
      <c r="AP442" s="54"/>
      <c r="AQ442" s="54"/>
      <c r="AR442" s="54"/>
      <c r="AS442" s="54"/>
      <c r="AT442" s="54"/>
    </row>
    <row r="443">
      <c r="A443" s="35" t="s">
        <v>2818</v>
      </c>
      <c r="B443" s="36" t="s">
        <v>2677</v>
      </c>
      <c r="C443" s="36" t="s">
        <v>2819</v>
      </c>
      <c r="D443" s="36" t="s">
        <v>2820</v>
      </c>
      <c r="E443" s="62" t="s">
        <v>2821</v>
      </c>
      <c r="F443" s="38" t="s">
        <v>2822</v>
      </c>
      <c r="G443" s="61">
        <v>9.50730661E8</v>
      </c>
      <c r="H443" s="40">
        <v>2633.0</v>
      </c>
      <c r="I443" s="40">
        <v>958.0</v>
      </c>
      <c r="J443" s="40" t="s">
        <v>65</v>
      </c>
      <c r="K443" s="41" t="s">
        <v>2823</v>
      </c>
      <c r="L443" s="42" t="s">
        <v>67</v>
      </c>
      <c r="M443" s="41" t="s">
        <v>2683</v>
      </c>
      <c r="N443" s="43" t="s">
        <v>2684</v>
      </c>
      <c r="O443" s="42" t="s">
        <v>2685</v>
      </c>
      <c r="P443" s="45"/>
      <c r="Q443" s="45" t="s">
        <v>67</v>
      </c>
      <c r="R443" s="46">
        <v>1.0</v>
      </c>
      <c r="S443" s="45" t="s">
        <v>67</v>
      </c>
      <c r="T443" s="64"/>
      <c r="U443" s="45" t="s">
        <v>67</v>
      </c>
      <c r="V443" s="45"/>
      <c r="W443" s="68">
        <v>46133.0</v>
      </c>
      <c r="X443" s="49" t="s">
        <v>2806</v>
      </c>
      <c r="Y443" s="49" t="s">
        <v>893</v>
      </c>
      <c r="Z443" s="40" t="s">
        <v>2774</v>
      </c>
      <c r="AA443" s="45" t="s">
        <v>74</v>
      </c>
      <c r="AB443" s="45" t="s">
        <v>67</v>
      </c>
      <c r="AC443" s="45" t="s">
        <v>458</v>
      </c>
      <c r="AD443" s="51" t="s">
        <v>76</v>
      </c>
      <c r="AE443" s="54"/>
      <c r="AF443" s="45" t="s">
        <v>67</v>
      </c>
      <c r="AG443" s="45"/>
      <c r="AH443" s="45">
        <v>25.0</v>
      </c>
      <c r="AI443" s="45">
        <v>16.0</v>
      </c>
      <c r="AJ443" s="45"/>
      <c r="AK443" s="45"/>
      <c r="AL443" s="45"/>
      <c r="AM443" s="45"/>
      <c r="AN443" s="45">
        <v>0.0</v>
      </c>
      <c r="AO443" s="55"/>
      <c r="AP443" s="54"/>
      <c r="AQ443" s="54"/>
      <c r="AR443" s="54"/>
      <c r="AS443" s="54"/>
      <c r="AT443" s="54"/>
    </row>
    <row r="444">
      <c r="A444" s="35" t="s">
        <v>2824</v>
      </c>
      <c r="B444" s="36" t="s">
        <v>2677</v>
      </c>
      <c r="C444" s="36" t="s">
        <v>2678</v>
      </c>
      <c r="D444" s="36" t="s">
        <v>2825</v>
      </c>
      <c r="E444" s="62" t="s">
        <v>2826</v>
      </c>
      <c r="F444" s="38" t="s">
        <v>2827</v>
      </c>
      <c r="G444" s="61">
        <v>9.66304406E8</v>
      </c>
      <c r="H444" s="40">
        <v>2624.0</v>
      </c>
      <c r="I444" s="40">
        <v>947.0</v>
      </c>
      <c r="J444" s="40" t="s">
        <v>65</v>
      </c>
      <c r="K444" s="42" t="s">
        <v>2828</v>
      </c>
      <c r="L444" s="42" t="s">
        <v>74</v>
      </c>
      <c r="M444" s="53" t="s">
        <v>2683</v>
      </c>
      <c r="N444" s="43" t="s">
        <v>2684</v>
      </c>
      <c r="O444" s="42" t="s">
        <v>2685</v>
      </c>
      <c r="P444" s="45" t="s">
        <v>67</v>
      </c>
      <c r="Q444" s="45" t="s">
        <v>67</v>
      </c>
      <c r="R444" s="46">
        <v>2.0</v>
      </c>
      <c r="S444" s="45" t="s">
        <v>67</v>
      </c>
      <c r="T444" s="64"/>
      <c r="U444" s="45" t="s">
        <v>67</v>
      </c>
      <c r="V444" s="45"/>
      <c r="W444" s="68">
        <v>46133.0</v>
      </c>
      <c r="X444" s="49" t="s">
        <v>2829</v>
      </c>
      <c r="Y444" s="49" t="s">
        <v>1240</v>
      </c>
      <c r="Z444" s="40" t="s">
        <v>2774</v>
      </c>
      <c r="AA444" s="45" t="s">
        <v>74</v>
      </c>
      <c r="AB444" s="45" t="s">
        <v>67</v>
      </c>
      <c r="AC444" s="45" t="s">
        <v>458</v>
      </c>
      <c r="AD444" s="51" t="s">
        <v>76</v>
      </c>
      <c r="AE444" s="54"/>
      <c r="AF444" s="45" t="s">
        <v>67</v>
      </c>
      <c r="AG444" s="45"/>
      <c r="AH444" s="45">
        <v>20.0</v>
      </c>
      <c r="AI444" s="45">
        <v>18.0</v>
      </c>
      <c r="AJ444" s="45"/>
      <c r="AK444" s="45"/>
      <c r="AL444" s="45"/>
      <c r="AM444" s="45"/>
      <c r="AN444" s="45">
        <v>0.0</v>
      </c>
      <c r="AO444" s="55"/>
      <c r="AP444" s="54"/>
      <c r="AQ444" s="54"/>
      <c r="AR444" s="54"/>
      <c r="AS444" s="54"/>
      <c r="AT444" s="54"/>
    </row>
    <row r="445">
      <c r="A445" s="35" t="s">
        <v>2830</v>
      </c>
      <c r="B445" s="36" t="s">
        <v>2677</v>
      </c>
      <c r="C445" s="36" t="s">
        <v>2819</v>
      </c>
      <c r="D445" s="36" t="s">
        <v>2831</v>
      </c>
      <c r="E445" s="62" t="s">
        <v>2832</v>
      </c>
      <c r="F445" s="38" t="s">
        <v>2833</v>
      </c>
      <c r="G445" s="61">
        <v>9.51725184E8</v>
      </c>
      <c r="H445" s="40">
        <v>2634.0</v>
      </c>
      <c r="I445" s="40">
        <v>959.0</v>
      </c>
      <c r="J445" s="40" t="s">
        <v>65</v>
      </c>
      <c r="K445" s="41" t="s">
        <v>2834</v>
      </c>
      <c r="L445" s="42" t="s">
        <v>67</v>
      </c>
      <c r="M445" s="41" t="s">
        <v>2683</v>
      </c>
      <c r="N445" s="43" t="s">
        <v>2684</v>
      </c>
      <c r="O445" s="42" t="s">
        <v>2685</v>
      </c>
      <c r="P445" s="45"/>
      <c r="Q445" s="45" t="s">
        <v>67</v>
      </c>
      <c r="R445" s="46">
        <v>1.0</v>
      </c>
      <c r="S445" s="45" t="s">
        <v>67</v>
      </c>
      <c r="T445" s="64"/>
      <c r="U445" s="45" t="s">
        <v>67</v>
      </c>
      <c r="V445" s="45"/>
      <c r="W445" s="68">
        <v>46134.0</v>
      </c>
      <c r="X445" s="49" t="s">
        <v>2835</v>
      </c>
      <c r="Y445" s="49" t="s">
        <v>1240</v>
      </c>
      <c r="Z445" s="40" t="s">
        <v>2774</v>
      </c>
      <c r="AA445" s="45" t="s">
        <v>74</v>
      </c>
      <c r="AB445" s="45" t="s">
        <v>67</v>
      </c>
      <c r="AC445" s="45" t="s">
        <v>135</v>
      </c>
      <c r="AD445" s="51" t="s">
        <v>76</v>
      </c>
      <c r="AE445" s="54"/>
      <c r="AF445" s="45" t="s">
        <v>67</v>
      </c>
      <c r="AG445" s="45"/>
      <c r="AH445" s="45">
        <v>25.0</v>
      </c>
      <c r="AI445" s="45">
        <v>22.0</v>
      </c>
      <c r="AJ445" s="45"/>
      <c r="AK445" s="45"/>
      <c r="AL445" s="45"/>
      <c r="AM445" s="45"/>
      <c r="AN445" s="45">
        <v>0.0</v>
      </c>
      <c r="AO445" s="55"/>
      <c r="AP445" s="54"/>
      <c r="AQ445" s="54"/>
      <c r="AR445" s="54"/>
      <c r="AS445" s="54"/>
      <c r="AT445" s="54"/>
    </row>
    <row r="446">
      <c r="A446" s="35" t="s">
        <v>2836</v>
      </c>
      <c r="B446" s="36" t="s">
        <v>2677</v>
      </c>
      <c r="C446" s="36" t="s">
        <v>2688</v>
      </c>
      <c r="D446" s="36" t="s">
        <v>2837</v>
      </c>
      <c r="E446" s="62" t="s">
        <v>2838</v>
      </c>
      <c r="F446" s="38" t="s">
        <v>2839</v>
      </c>
      <c r="G446" s="61">
        <v>9.66120058E8</v>
      </c>
      <c r="H446" s="40">
        <v>2921.0</v>
      </c>
      <c r="I446" s="40">
        <v>978.0</v>
      </c>
      <c r="J446" s="40" t="s">
        <v>65</v>
      </c>
      <c r="K446" s="42" t="s">
        <v>2840</v>
      </c>
      <c r="L446" s="42" t="s">
        <v>67</v>
      </c>
      <c r="M446" s="53" t="s">
        <v>2683</v>
      </c>
      <c r="N446" s="43" t="s">
        <v>2684</v>
      </c>
      <c r="O446" s="42" t="s">
        <v>2685</v>
      </c>
      <c r="P446" s="45" t="s">
        <v>67</v>
      </c>
      <c r="Q446" s="45" t="s">
        <v>67</v>
      </c>
      <c r="R446" s="46">
        <v>2.0</v>
      </c>
      <c r="S446" s="45" t="s">
        <v>67</v>
      </c>
      <c r="T446" s="64"/>
      <c r="U446" s="45" t="s">
        <v>67</v>
      </c>
      <c r="V446" s="45"/>
      <c r="W446" s="68">
        <v>46133.0</v>
      </c>
      <c r="X446" s="49" t="s">
        <v>2841</v>
      </c>
      <c r="Y446" s="49" t="s">
        <v>893</v>
      </c>
      <c r="Z446" s="40" t="s">
        <v>2774</v>
      </c>
      <c r="AA446" s="45" t="s">
        <v>74</v>
      </c>
      <c r="AB446" s="45" t="s">
        <v>67</v>
      </c>
      <c r="AC446" s="45" t="s">
        <v>287</v>
      </c>
      <c r="AD446" s="51" t="s">
        <v>76</v>
      </c>
      <c r="AE446" s="54"/>
      <c r="AF446" s="45" t="s">
        <v>67</v>
      </c>
      <c r="AG446" s="45"/>
      <c r="AH446" s="45">
        <v>48.0</v>
      </c>
      <c r="AI446" s="45">
        <v>23.0</v>
      </c>
      <c r="AJ446" s="45"/>
      <c r="AK446" s="45"/>
      <c r="AL446" s="45"/>
      <c r="AM446" s="45"/>
      <c r="AN446" s="45">
        <v>0.0</v>
      </c>
      <c r="AO446" s="55"/>
      <c r="AP446" s="54"/>
      <c r="AQ446" s="54"/>
      <c r="AR446" s="54"/>
      <c r="AS446" s="54"/>
      <c r="AT446" s="54"/>
    </row>
    <row r="447">
      <c r="A447" s="35" t="s">
        <v>2842</v>
      </c>
      <c r="B447" s="36" t="s">
        <v>2677</v>
      </c>
      <c r="C447" s="36" t="s">
        <v>2688</v>
      </c>
      <c r="D447" s="36" t="s">
        <v>2843</v>
      </c>
      <c r="E447" s="62" t="s">
        <v>2844</v>
      </c>
      <c r="F447" s="38" t="s">
        <v>2845</v>
      </c>
      <c r="G447" s="61" t="s">
        <v>2846</v>
      </c>
      <c r="H447" s="40">
        <v>2646.0</v>
      </c>
      <c r="I447" s="40">
        <v>971.0</v>
      </c>
      <c r="J447" s="40" t="s">
        <v>65</v>
      </c>
      <c r="K447" s="41" t="s">
        <v>2847</v>
      </c>
      <c r="L447" s="42" t="s">
        <v>67</v>
      </c>
      <c r="M447" s="53" t="s">
        <v>2683</v>
      </c>
      <c r="N447" s="43" t="s">
        <v>2684</v>
      </c>
      <c r="O447" s="42" t="s">
        <v>2685</v>
      </c>
      <c r="P447" s="45" t="s">
        <v>67</v>
      </c>
      <c r="Q447" s="45" t="s">
        <v>67</v>
      </c>
      <c r="R447" s="46">
        <v>2.0</v>
      </c>
      <c r="S447" s="45" t="s">
        <v>67</v>
      </c>
      <c r="T447" s="64"/>
      <c r="U447" s="45" t="s">
        <v>67</v>
      </c>
      <c r="V447" s="45"/>
      <c r="W447" s="68">
        <v>46133.0</v>
      </c>
      <c r="X447" s="49" t="s">
        <v>2806</v>
      </c>
      <c r="Y447" s="49"/>
      <c r="Z447" s="40" t="s">
        <v>2774</v>
      </c>
      <c r="AA447" s="45" t="s">
        <v>74</v>
      </c>
      <c r="AB447" s="45" t="s">
        <v>67</v>
      </c>
      <c r="AC447" s="45" t="s">
        <v>96</v>
      </c>
      <c r="AD447" s="51" t="s">
        <v>76</v>
      </c>
      <c r="AE447" s="54"/>
      <c r="AF447" s="45" t="s">
        <v>67</v>
      </c>
      <c r="AG447" s="45"/>
      <c r="AH447" s="45">
        <v>13.0</v>
      </c>
      <c r="AI447" s="45">
        <v>7.0</v>
      </c>
      <c r="AJ447" s="45"/>
      <c r="AK447" s="45"/>
      <c r="AL447" s="45"/>
      <c r="AM447" s="45"/>
      <c r="AN447" s="45">
        <v>0.0</v>
      </c>
      <c r="AO447" s="55"/>
      <c r="AP447" s="54"/>
      <c r="AQ447" s="54"/>
      <c r="AR447" s="54"/>
      <c r="AS447" s="54"/>
      <c r="AT447" s="54"/>
    </row>
    <row r="448">
      <c r="A448" s="35" t="s">
        <v>2848</v>
      </c>
      <c r="B448" s="36" t="s">
        <v>2677</v>
      </c>
      <c r="C448" s="36" t="s">
        <v>2758</v>
      </c>
      <c r="D448" s="36" t="s">
        <v>2849</v>
      </c>
      <c r="E448" s="62" t="s">
        <v>2850</v>
      </c>
      <c r="F448" s="38" t="s">
        <v>2851</v>
      </c>
      <c r="G448" s="61">
        <v>9.34584229E8</v>
      </c>
      <c r="H448" s="40">
        <v>2629.0</v>
      </c>
      <c r="I448" s="40">
        <v>953.0</v>
      </c>
      <c r="J448" s="40" t="s">
        <v>65</v>
      </c>
      <c r="K448" s="41" t="s">
        <v>2852</v>
      </c>
      <c r="L448" s="42" t="s">
        <v>67</v>
      </c>
      <c r="M448" s="41" t="s">
        <v>2683</v>
      </c>
      <c r="N448" s="43" t="s">
        <v>2684</v>
      </c>
      <c r="O448" s="42" t="s">
        <v>2685</v>
      </c>
      <c r="P448" s="45"/>
      <c r="Q448" s="45" t="s">
        <v>67</v>
      </c>
      <c r="R448" s="46">
        <v>1.0</v>
      </c>
      <c r="S448" s="45" t="s">
        <v>67</v>
      </c>
      <c r="T448" s="64"/>
      <c r="U448" s="45" t="s">
        <v>67</v>
      </c>
      <c r="V448" s="45"/>
      <c r="W448" s="68">
        <v>46133.0</v>
      </c>
      <c r="X448" s="49" t="s">
        <v>2853</v>
      </c>
      <c r="Y448" s="49" t="s">
        <v>1240</v>
      </c>
      <c r="Z448" s="40" t="s">
        <v>2774</v>
      </c>
      <c r="AA448" s="45" t="s">
        <v>74</v>
      </c>
      <c r="AB448" s="45" t="s">
        <v>67</v>
      </c>
      <c r="AC448" s="45" t="s">
        <v>86</v>
      </c>
      <c r="AD448" s="51" t="s">
        <v>76</v>
      </c>
      <c r="AE448" s="54"/>
      <c r="AF448" s="45" t="s">
        <v>67</v>
      </c>
      <c r="AG448" s="45"/>
      <c r="AH448" s="45">
        <v>70.0</v>
      </c>
      <c r="AI448" s="45">
        <v>25.0</v>
      </c>
      <c r="AJ448" s="45"/>
      <c r="AK448" s="45"/>
      <c r="AL448" s="45"/>
      <c r="AM448" s="45"/>
      <c r="AN448" s="45">
        <v>4.0</v>
      </c>
      <c r="AO448" s="55"/>
      <c r="AP448" s="54"/>
      <c r="AQ448" s="54"/>
      <c r="AR448" s="54"/>
      <c r="AS448" s="54"/>
      <c r="AT448" s="54"/>
    </row>
    <row r="449">
      <c r="A449" s="35" t="s">
        <v>2854</v>
      </c>
      <c r="B449" s="36" t="s">
        <v>2677</v>
      </c>
      <c r="C449" s="36" t="s">
        <v>2688</v>
      </c>
      <c r="D449" s="36" t="s">
        <v>2855</v>
      </c>
      <c r="E449" s="62" t="s">
        <v>2856</v>
      </c>
      <c r="F449" s="38" t="s">
        <v>2857</v>
      </c>
      <c r="G449" s="61">
        <v>9.52846382E8</v>
      </c>
      <c r="H449" s="40">
        <v>2648.0</v>
      </c>
      <c r="I449" s="40">
        <v>973.0</v>
      </c>
      <c r="J449" s="40" t="s">
        <v>65</v>
      </c>
      <c r="K449" s="42" t="s">
        <v>2858</v>
      </c>
      <c r="L449" s="42" t="s">
        <v>67</v>
      </c>
      <c r="M449" s="53" t="s">
        <v>2683</v>
      </c>
      <c r="N449" s="43" t="s">
        <v>2684</v>
      </c>
      <c r="O449" s="42" t="s">
        <v>2685</v>
      </c>
      <c r="P449" s="45" t="s">
        <v>67</v>
      </c>
      <c r="Q449" s="45" t="s">
        <v>67</v>
      </c>
      <c r="R449" s="46">
        <v>2.0</v>
      </c>
      <c r="S449" s="45" t="s">
        <v>67</v>
      </c>
      <c r="T449" s="64"/>
      <c r="U449" s="45" t="s">
        <v>67</v>
      </c>
      <c r="V449" s="45"/>
      <c r="W449" s="68">
        <v>46133.0</v>
      </c>
      <c r="X449" s="49" t="s">
        <v>2806</v>
      </c>
      <c r="Y449" s="49" t="s">
        <v>393</v>
      </c>
      <c r="Z449" s="40" t="s">
        <v>2774</v>
      </c>
      <c r="AA449" s="45" t="s">
        <v>74</v>
      </c>
      <c r="AB449" s="45" t="s">
        <v>67</v>
      </c>
      <c r="AC449" s="45" t="s">
        <v>620</v>
      </c>
      <c r="AD449" s="51" t="s">
        <v>76</v>
      </c>
      <c r="AE449" s="54"/>
      <c r="AF449" s="45" t="s">
        <v>67</v>
      </c>
      <c r="AG449" s="45"/>
      <c r="AH449" s="45">
        <v>12.0</v>
      </c>
      <c r="AI449" s="45">
        <v>4.0</v>
      </c>
      <c r="AJ449" s="45"/>
      <c r="AK449" s="45"/>
      <c r="AL449" s="45"/>
      <c r="AM449" s="45"/>
      <c r="AN449" s="45">
        <v>0.0</v>
      </c>
      <c r="AO449" s="55"/>
      <c r="AP449" s="54"/>
      <c r="AQ449" s="54"/>
      <c r="AR449" s="54"/>
      <c r="AS449" s="54"/>
      <c r="AT449" s="54"/>
    </row>
    <row r="450">
      <c r="A450" s="35" t="s">
        <v>2854</v>
      </c>
      <c r="B450" s="36" t="s">
        <v>2677</v>
      </c>
      <c r="C450" s="36" t="s">
        <v>2688</v>
      </c>
      <c r="D450" s="36" t="s">
        <v>2855</v>
      </c>
      <c r="E450" s="62" t="s">
        <v>2859</v>
      </c>
      <c r="F450" s="38" t="s">
        <v>2860</v>
      </c>
      <c r="G450" s="61" t="s">
        <v>2861</v>
      </c>
      <c r="H450" s="40">
        <v>2647.0</v>
      </c>
      <c r="I450" s="40">
        <v>972.0</v>
      </c>
      <c r="J450" s="40" t="s">
        <v>65</v>
      </c>
      <c r="K450" s="41" t="s">
        <v>2862</v>
      </c>
      <c r="L450" s="42" t="s">
        <v>67</v>
      </c>
      <c r="M450" s="53" t="s">
        <v>2683</v>
      </c>
      <c r="N450" s="43" t="s">
        <v>2684</v>
      </c>
      <c r="O450" s="42" t="s">
        <v>2685</v>
      </c>
      <c r="P450" s="45" t="s">
        <v>67</v>
      </c>
      <c r="Q450" s="45" t="s">
        <v>67</v>
      </c>
      <c r="R450" s="46">
        <v>2.0</v>
      </c>
      <c r="S450" s="45" t="s">
        <v>67</v>
      </c>
      <c r="T450" s="64"/>
      <c r="U450" s="45" t="s">
        <v>67</v>
      </c>
      <c r="V450" s="45"/>
      <c r="W450" s="68">
        <v>46133.0</v>
      </c>
      <c r="X450" s="49" t="s">
        <v>2806</v>
      </c>
      <c r="Y450" s="49" t="s">
        <v>393</v>
      </c>
      <c r="Z450" s="40" t="s">
        <v>2774</v>
      </c>
      <c r="AA450" s="45" t="s">
        <v>74</v>
      </c>
      <c r="AB450" s="45" t="s">
        <v>67</v>
      </c>
      <c r="AC450" s="45" t="s">
        <v>620</v>
      </c>
      <c r="AD450" s="51" t="s">
        <v>76</v>
      </c>
      <c r="AE450" s="54"/>
      <c r="AF450" s="45" t="s">
        <v>67</v>
      </c>
      <c r="AG450" s="45"/>
      <c r="AH450" s="45">
        <v>0.0</v>
      </c>
      <c r="AI450" s="45">
        <v>0.0</v>
      </c>
      <c r="AJ450" s="45"/>
      <c r="AK450" s="45"/>
      <c r="AL450" s="45"/>
      <c r="AM450" s="45"/>
      <c r="AN450" s="45">
        <v>0.0</v>
      </c>
      <c r="AO450" s="55"/>
      <c r="AP450" s="54"/>
      <c r="AQ450" s="54"/>
      <c r="AR450" s="54"/>
      <c r="AS450" s="54"/>
      <c r="AT450" s="54"/>
    </row>
    <row r="451">
      <c r="A451" s="35" t="s">
        <v>2863</v>
      </c>
      <c r="B451" s="36" t="s">
        <v>2677</v>
      </c>
      <c r="C451" s="36" t="s">
        <v>2677</v>
      </c>
      <c r="D451" s="36" t="s">
        <v>2864</v>
      </c>
      <c r="E451" s="62" t="s">
        <v>2865</v>
      </c>
      <c r="F451" s="38" t="s">
        <v>2866</v>
      </c>
      <c r="G451" s="61">
        <v>9.97030314E8</v>
      </c>
      <c r="H451" s="40">
        <v>2526.0</v>
      </c>
      <c r="I451" s="40">
        <v>938.0</v>
      </c>
      <c r="J451" s="40" t="s">
        <v>65</v>
      </c>
      <c r="K451" s="41" t="s">
        <v>2867</v>
      </c>
      <c r="L451" s="42" t="s">
        <v>67</v>
      </c>
      <c r="M451" s="41" t="s">
        <v>2683</v>
      </c>
      <c r="N451" s="43" t="s">
        <v>2684</v>
      </c>
      <c r="O451" s="42" t="s">
        <v>2685</v>
      </c>
      <c r="P451" s="45"/>
      <c r="Q451" s="45" t="s">
        <v>67</v>
      </c>
      <c r="R451" s="46">
        <v>1.0</v>
      </c>
      <c r="S451" s="45" t="s">
        <v>67</v>
      </c>
      <c r="T451" s="64"/>
      <c r="U451" s="45" t="s">
        <v>67</v>
      </c>
      <c r="V451" s="45"/>
      <c r="W451" s="68">
        <v>46134.0</v>
      </c>
      <c r="X451" s="49" t="s">
        <v>2868</v>
      </c>
      <c r="Y451" s="49" t="s">
        <v>1292</v>
      </c>
      <c r="Z451" s="40" t="s">
        <v>2774</v>
      </c>
      <c r="AA451" s="45" t="s">
        <v>74</v>
      </c>
      <c r="AB451" s="45" t="s">
        <v>67</v>
      </c>
      <c r="AC451" s="45" t="s">
        <v>458</v>
      </c>
      <c r="AD451" s="51" t="s">
        <v>76</v>
      </c>
      <c r="AE451" s="54"/>
      <c r="AF451" s="45" t="s">
        <v>67</v>
      </c>
      <c r="AG451" s="45"/>
      <c r="AH451" s="45">
        <v>18.0</v>
      </c>
      <c r="AI451" s="45">
        <v>15.0</v>
      </c>
      <c r="AJ451" s="45"/>
      <c r="AK451" s="45"/>
      <c r="AL451" s="45"/>
      <c r="AM451" s="45"/>
      <c r="AN451" s="45">
        <v>0.0</v>
      </c>
      <c r="AO451" s="55"/>
      <c r="AP451" s="54"/>
      <c r="AQ451" s="54"/>
      <c r="AR451" s="54"/>
      <c r="AS451" s="54"/>
      <c r="AT451" s="54"/>
    </row>
    <row r="452">
      <c r="A452" s="35" t="s">
        <v>2869</v>
      </c>
      <c r="B452" s="36" t="s">
        <v>2677</v>
      </c>
      <c r="C452" s="36" t="s">
        <v>2678</v>
      </c>
      <c r="D452" s="36" t="s">
        <v>2870</v>
      </c>
      <c r="E452" s="62" t="s">
        <v>2871</v>
      </c>
      <c r="F452" s="38" t="s">
        <v>2872</v>
      </c>
      <c r="G452" s="61">
        <v>9.93182608E8</v>
      </c>
      <c r="H452" s="40">
        <v>2625.0</v>
      </c>
      <c r="I452" s="40">
        <v>948.0</v>
      </c>
      <c r="J452" s="40" t="s">
        <v>65</v>
      </c>
      <c r="K452" s="42" t="s">
        <v>2873</v>
      </c>
      <c r="L452" s="42" t="s">
        <v>67</v>
      </c>
      <c r="M452" s="53" t="s">
        <v>2683</v>
      </c>
      <c r="N452" s="43" t="s">
        <v>2684</v>
      </c>
      <c r="O452" s="42" t="s">
        <v>2685</v>
      </c>
      <c r="P452" s="45" t="s">
        <v>67</v>
      </c>
      <c r="Q452" s="45" t="s">
        <v>67</v>
      </c>
      <c r="R452" s="46">
        <v>2.0</v>
      </c>
      <c r="S452" s="45" t="s">
        <v>67</v>
      </c>
      <c r="T452" s="58" t="s">
        <v>2808</v>
      </c>
      <c r="U452" s="45" t="s">
        <v>67</v>
      </c>
      <c r="V452" s="45"/>
      <c r="W452" s="68">
        <v>46133.0</v>
      </c>
      <c r="X452" s="49" t="s">
        <v>2874</v>
      </c>
      <c r="Y452" s="49" t="s">
        <v>1653</v>
      </c>
      <c r="Z452" s="40" t="s">
        <v>2774</v>
      </c>
      <c r="AA452" s="45" t="s">
        <v>74</v>
      </c>
      <c r="AB452" s="45" t="s">
        <v>67</v>
      </c>
      <c r="AC452" s="45" t="s">
        <v>458</v>
      </c>
      <c r="AD452" s="51" t="s">
        <v>76</v>
      </c>
      <c r="AE452" s="54"/>
      <c r="AF452" s="45" t="s">
        <v>67</v>
      </c>
      <c r="AG452" s="45"/>
      <c r="AH452" s="45">
        <v>32.0</v>
      </c>
      <c r="AI452" s="45">
        <v>21.0</v>
      </c>
      <c r="AJ452" s="45"/>
      <c r="AK452" s="45"/>
      <c r="AL452" s="45"/>
      <c r="AM452" s="45"/>
      <c r="AN452" s="45">
        <v>0.0</v>
      </c>
      <c r="AO452" s="55"/>
      <c r="AP452" s="54"/>
      <c r="AQ452" s="54"/>
      <c r="AR452" s="54"/>
      <c r="AS452" s="54"/>
      <c r="AT452" s="54"/>
    </row>
    <row r="453">
      <c r="A453" s="35" t="s">
        <v>2875</v>
      </c>
      <c r="B453" s="36" t="s">
        <v>2677</v>
      </c>
      <c r="C453" s="36" t="s">
        <v>1874</v>
      </c>
      <c r="D453" s="36" t="s">
        <v>2876</v>
      </c>
      <c r="E453" s="62" t="s">
        <v>2877</v>
      </c>
      <c r="F453" s="38" t="s">
        <v>2878</v>
      </c>
      <c r="G453" s="61">
        <v>9.99888588E8</v>
      </c>
      <c r="H453" s="40">
        <v>2923.0</v>
      </c>
      <c r="I453" s="40">
        <v>980.0</v>
      </c>
      <c r="J453" s="40" t="s">
        <v>65</v>
      </c>
      <c r="K453" s="41" t="s">
        <v>2879</v>
      </c>
      <c r="L453" s="42" t="s">
        <v>67</v>
      </c>
      <c r="M453" s="41" t="s">
        <v>2683</v>
      </c>
      <c r="N453" s="43" t="s">
        <v>2684</v>
      </c>
      <c r="O453" s="42" t="s">
        <v>2685</v>
      </c>
      <c r="P453" s="45"/>
      <c r="Q453" s="45" t="s">
        <v>67</v>
      </c>
      <c r="R453" s="46">
        <v>1.0</v>
      </c>
      <c r="S453" s="45" t="s">
        <v>67</v>
      </c>
      <c r="T453" s="64"/>
      <c r="U453" s="45" t="s">
        <v>67</v>
      </c>
      <c r="V453" s="45"/>
      <c r="W453" s="68">
        <v>46133.0</v>
      </c>
      <c r="X453" s="49" t="s">
        <v>2806</v>
      </c>
      <c r="Y453" s="49" t="s">
        <v>1240</v>
      </c>
      <c r="Z453" s="40" t="s">
        <v>2774</v>
      </c>
      <c r="AA453" s="45" t="s">
        <v>74</v>
      </c>
      <c r="AB453" s="45" t="s">
        <v>67</v>
      </c>
      <c r="AC453" s="45" t="s">
        <v>620</v>
      </c>
      <c r="AD453" s="51" t="s">
        <v>76</v>
      </c>
      <c r="AE453" s="54"/>
      <c r="AF453" s="45" t="s">
        <v>67</v>
      </c>
      <c r="AG453" s="45"/>
      <c r="AH453" s="45">
        <v>22.0</v>
      </c>
      <c r="AI453" s="45">
        <v>18.0</v>
      </c>
      <c r="AJ453" s="45"/>
      <c r="AK453" s="45"/>
      <c r="AL453" s="45"/>
      <c r="AM453" s="45"/>
      <c r="AN453" s="45">
        <v>0.0</v>
      </c>
      <c r="AO453" s="55"/>
      <c r="AP453" s="54"/>
      <c r="AQ453" s="54"/>
      <c r="AR453" s="54"/>
      <c r="AS453" s="54"/>
      <c r="AT453" s="54"/>
    </row>
    <row r="454">
      <c r="A454" s="35" t="s">
        <v>2880</v>
      </c>
      <c r="B454" s="36" t="s">
        <v>2677</v>
      </c>
      <c r="C454" s="36" t="s">
        <v>2688</v>
      </c>
      <c r="D454" s="36" t="s">
        <v>2881</v>
      </c>
      <c r="E454" s="62" t="s">
        <v>2882</v>
      </c>
      <c r="F454" s="38" t="s">
        <v>2883</v>
      </c>
      <c r="G454" s="61">
        <v>9.1698466E8</v>
      </c>
      <c r="H454" s="40">
        <v>2924.0</v>
      </c>
      <c r="I454" s="40">
        <v>981.0</v>
      </c>
      <c r="J454" s="40" t="s">
        <v>65</v>
      </c>
      <c r="K454" s="42" t="s">
        <v>2884</v>
      </c>
      <c r="L454" s="42" t="s">
        <v>67</v>
      </c>
      <c r="M454" s="53" t="s">
        <v>2683</v>
      </c>
      <c r="N454" s="43" t="s">
        <v>2684</v>
      </c>
      <c r="O454" s="42" t="s">
        <v>2685</v>
      </c>
      <c r="P454" s="45" t="s">
        <v>67</v>
      </c>
      <c r="Q454" s="45" t="s">
        <v>67</v>
      </c>
      <c r="R454" s="46">
        <v>2.0</v>
      </c>
      <c r="S454" s="45" t="s">
        <v>67</v>
      </c>
      <c r="T454" s="64"/>
      <c r="U454" s="45" t="s">
        <v>67</v>
      </c>
      <c r="V454" s="45"/>
      <c r="W454" s="68">
        <v>46133.0</v>
      </c>
      <c r="X454" s="49" t="s">
        <v>2885</v>
      </c>
      <c r="Y454" s="49" t="s">
        <v>1240</v>
      </c>
      <c r="Z454" s="40" t="s">
        <v>2774</v>
      </c>
      <c r="AA454" s="45" t="s">
        <v>74</v>
      </c>
      <c r="AB454" s="45" t="s">
        <v>67</v>
      </c>
      <c r="AC454" s="45" t="s">
        <v>96</v>
      </c>
      <c r="AD454" s="51" t="s">
        <v>76</v>
      </c>
      <c r="AE454" s="54"/>
      <c r="AF454" s="45" t="s">
        <v>67</v>
      </c>
      <c r="AG454" s="45"/>
      <c r="AH454" s="45">
        <v>14.0</v>
      </c>
      <c r="AI454" s="45">
        <v>19.0</v>
      </c>
      <c r="AJ454" s="45"/>
      <c r="AK454" s="45"/>
      <c r="AL454" s="45"/>
      <c r="AM454" s="45"/>
      <c r="AN454" s="45">
        <v>0.0</v>
      </c>
      <c r="AO454" s="55"/>
      <c r="AP454" s="54"/>
      <c r="AQ454" s="54"/>
      <c r="AR454" s="54"/>
      <c r="AS454" s="54"/>
      <c r="AT454" s="54"/>
    </row>
    <row r="455">
      <c r="A455" s="35" t="s">
        <v>2886</v>
      </c>
      <c r="B455" s="36" t="s">
        <v>2677</v>
      </c>
      <c r="C455" s="36" t="s">
        <v>2688</v>
      </c>
      <c r="D455" s="36" t="s">
        <v>2887</v>
      </c>
      <c r="E455" s="62" t="s">
        <v>2888</v>
      </c>
      <c r="F455" s="38" t="s">
        <v>2889</v>
      </c>
      <c r="G455" s="61">
        <v>9.99700115E8</v>
      </c>
      <c r="H455" s="40">
        <v>2919.0</v>
      </c>
      <c r="I455" s="40">
        <v>976.0</v>
      </c>
      <c r="J455" s="40" t="s">
        <v>65</v>
      </c>
      <c r="K455" s="41" t="s">
        <v>2890</v>
      </c>
      <c r="L455" s="42" t="s">
        <v>67</v>
      </c>
      <c r="M455" s="53" t="s">
        <v>2683</v>
      </c>
      <c r="N455" s="43" t="s">
        <v>2684</v>
      </c>
      <c r="O455" s="42" t="s">
        <v>2685</v>
      </c>
      <c r="P455" s="45" t="s">
        <v>67</v>
      </c>
      <c r="Q455" s="45" t="s">
        <v>67</v>
      </c>
      <c r="R455" s="46">
        <v>2.0</v>
      </c>
      <c r="S455" s="45" t="s">
        <v>67</v>
      </c>
      <c r="T455" s="64"/>
      <c r="U455" s="45" t="s">
        <v>67</v>
      </c>
      <c r="V455" s="45"/>
      <c r="W455" s="68">
        <v>46133.0</v>
      </c>
      <c r="X455" s="49" t="s">
        <v>2891</v>
      </c>
      <c r="Y455" s="49" t="s">
        <v>1240</v>
      </c>
      <c r="Z455" s="40" t="s">
        <v>2774</v>
      </c>
      <c r="AA455" s="45" t="s">
        <v>74</v>
      </c>
      <c r="AB455" s="45" t="s">
        <v>67</v>
      </c>
      <c r="AC455" s="45" t="s">
        <v>458</v>
      </c>
      <c r="AD455" s="51" t="s">
        <v>76</v>
      </c>
      <c r="AE455" s="54"/>
      <c r="AF455" s="45" t="s">
        <v>67</v>
      </c>
      <c r="AG455" s="45"/>
      <c r="AH455" s="45">
        <v>11.0</v>
      </c>
      <c r="AI455" s="45">
        <v>15.0</v>
      </c>
      <c r="AJ455" s="45"/>
      <c r="AK455" s="45"/>
      <c r="AL455" s="45"/>
      <c r="AM455" s="45"/>
      <c r="AN455" s="45">
        <v>0.0</v>
      </c>
      <c r="AO455" s="55"/>
      <c r="AP455" s="54"/>
      <c r="AQ455" s="54"/>
      <c r="AR455" s="54"/>
      <c r="AS455" s="54"/>
      <c r="AT455" s="54"/>
    </row>
    <row r="456">
      <c r="A456" s="35" t="s">
        <v>2892</v>
      </c>
      <c r="B456" s="36" t="s">
        <v>2677</v>
      </c>
      <c r="C456" s="36" t="s">
        <v>2819</v>
      </c>
      <c r="D456" s="36" t="s">
        <v>1038</v>
      </c>
      <c r="E456" s="62" t="s">
        <v>2893</v>
      </c>
      <c r="F456" s="38" t="s">
        <v>2894</v>
      </c>
      <c r="G456" s="61">
        <v>9.64088497E8</v>
      </c>
      <c r="H456" s="40">
        <v>2635.0</v>
      </c>
      <c r="I456" s="40">
        <v>960.0</v>
      </c>
      <c r="J456" s="40" t="s">
        <v>65</v>
      </c>
      <c r="K456" s="41" t="s">
        <v>2895</v>
      </c>
      <c r="L456" s="42" t="s">
        <v>74</v>
      </c>
      <c r="M456" s="41" t="s">
        <v>2683</v>
      </c>
      <c r="N456" s="43" t="s">
        <v>885</v>
      </c>
      <c r="O456" s="42" t="s">
        <v>2685</v>
      </c>
      <c r="P456" s="45" t="s">
        <v>67</v>
      </c>
      <c r="Q456" s="45" t="s">
        <v>67</v>
      </c>
      <c r="R456" s="46">
        <v>1.0</v>
      </c>
      <c r="S456" s="45" t="s">
        <v>67</v>
      </c>
      <c r="T456" s="64"/>
      <c r="U456" s="45" t="s">
        <v>67</v>
      </c>
      <c r="V456" s="45"/>
      <c r="W456" s="68">
        <v>46133.0</v>
      </c>
      <c r="X456" s="49" t="s">
        <v>2806</v>
      </c>
      <c r="Y456" s="49" t="s">
        <v>1240</v>
      </c>
      <c r="Z456" s="40" t="s">
        <v>2774</v>
      </c>
      <c r="AA456" s="45" t="s">
        <v>74</v>
      </c>
      <c r="AB456" s="45" t="s">
        <v>67</v>
      </c>
      <c r="AC456" s="45" t="s">
        <v>458</v>
      </c>
      <c r="AD456" s="51" t="s">
        <v>76</v>
      </c>
      <c r="AE456" s="54"/>
      <c r="AF456" s="45" t="s">
        <v>67</v>
      </c>
      <c r="AG456" s="45"/>
      <c r="AH456" s="45">
        <v>20.0</v>
      </c>
      <c r="AI456" s="45">
        <v>25.0</v>
      </c>
      <c r="AJ456" s="45"/>
      <c r="AK456" s="45"/>
      <c r="AL456" s="45"/>
      <c r="AM456" s="45"/>
      <c r="AN456" s="45">
        <v>0.0</v>
      </c>
      <c r="AO456" s="55"/>
      <c r="AP456" s="54"/>
      <c r="AQ456" s="54"/>
      <c r="AR456" s="54"/>
      <c r="AS456" s="54"/>
      <c r="AT456" s="54"/>
    </row>
    <row r="457">
      <c r="A457" s="35" t="s">
        <v>2892</v>
      </c>
      <c r="B457" s="36" t="s">
        <v>2677</v>
      </c>
      <c r="C457" s="36" t="s">
        <v>2819</v>
      </c>
      <c r="D457" s="36" t="s">
        <v>1038</v>
      </c>
      <c r="E457" s="62" t="s">
        <v>2896</v>
      </c>
      <c r="F457" s="38" t="s">
        <v>2897</v>
      </c>
      <c r="G457" s="61">
        <v>9.75528554E8</v>
      </c>
      <c r="H457" s="40">
        <v>2636.0</v>
      </c>
      <c r="I457" s="40">
        <v>961.0</v>
      </c>
      <c r="J457" s="40" t="s">
        <v>65</v>
      </c>
      <c r="K457" s="42" t="s">
        <v>2898</v>
      </c>
      <c r="L457" s="42" t="s">
        <v>67</v>
      </c>
      <c r="M457" s="41" t="s">
        <v>2683</v>
      </c>
      <c r="N457" s="43" t="s">
        <v>885</v>
      </c>
      <c r="O457" s="42" t="s">
        <v>2685</v>
      </c>
      <c r="P457" s="45" t="s">
        <v>67</v>
      </c>
      <c r="Q457" s="45" t="s">
        <v>67</v>
      </c>
      <c r="R457" s="46">
        <v>1.0</v>
      </c>
      <c r="S457" s="45" t="s">
        <v>67</v>
      </c>
      <c r="T457" s="64"/>
      <c r="U457" s="45" t="s">
        <v>67</v>
      </c>
      <c r="V457" s="45"/>
      <c r="W457" s="68">
        <v>46133.0</v>
      </c>
      <c r="X457" s="49" t="s">
        <v>2806</v>
      </c>
      <c r="Y457" s="49" t="s">
        <v>1240</v>
      </c>
      <c r="Z457" s="40" t="s">
        <v>2774</v>
      </c>
      <c r="AA457" s="45" t="s">
        <v>74</v>
      </c>
      <c r="AB457" s="45" t="s">
        <v>67</v>
      </c>
      <c r="AC457" s="45" t="s">
        <v>458</v>
      </c>
      <c r="AD457" s="51" t="s">
        <v>76</v>
      </c>
      <c r="AE457" s="54"/>
      <c r="AF457" s="45" t="s">
        <v>67</v>
      </c>
      <c r="AG457" s="45"/>
      <c r="AH457" s="45">
        <v>0.0</v>
      </c>
      <c r="AI457" s="45">
        <v>0.0</v>
      </c>
      <c r="AJ457" s="45"/>
      <c r="AK457" s="45"/>
      <c r="AL457" s="45"/>
      <c r="AM457" s="45"/>
      <c r="AN457" s="45">
        <v>3.0</v>
      </c>
      <c r="AO457" s="55"/>
      <c r="AP457" s="54"/>
      <c r="AQ457" s="54"/>
      <c r="AR457" s="54"/>
      <c r="AS457" s="54"/>
      <c r="AT457" s="54"/>
    </row>
    <row r="458">
      <c r="A458" s="35" t="s">
        <v>2899</v>
      </c>
      <c r="B458" s="36" t="s">
        <v>2677</v>
      </c>
      <c r="C458" s="36" t="s">
        <v>2709</v>
      </c>
      <c r="D458" s="36" t="s">
        <v>2900</v>
      </c>
      <c r="E458" s="62" t="s">
        <v>2901</v>
      </c>
      <c r="F458" s="38" t="s">
        <v>2902</v>
      </c>
      <c r="G458" s="61">
        <v>9.10230117E8</v>
      </c>
      <c r="H458" s="40">
        <v>2631.0</v>
      </c>
      <c r="I458" s="40">
        <v>955.0</v>
      </c>
      <c r="J458" s="40" t="s">
        <v>65</v>
      </c>
      <c r="K458" s="41" t="s">
        <v>2903</v>
      </c>
      <c r="L458" s="42" t="s">
        <v>74</v>
      </c>
      <c r="M458" s="41" t="s">
        <v>2683</v>
      </c>
      <c r="N458" s="43" t="s">
        <v>2684</v>
      </c>
      <c r="O458" s="42" t="s">
        <v>2685</v>
      </c>
      <c r="P458" s="45" t="s">
        <v>67</v>
      </c>
      <c r="Q458" s="45" t="s">
        <v>67</v>
      </c>
      <c r="R458" s="46">
        <v>1.0</v>
      </c>
      <c r="S458" s="45" t="s">
        <v>67</v>
      </c>
      <c r="T458" s="64"/>
      <c r="U458" s="45" t="s">
        <v>67</v>
      </c>
      <c r="V458" s="45"/>
      <c r="W458" s="68">
        <v>46133.0</v>
      </c>
      <c r="X458" s="49" t="s">
        <v>2904</v>
      </c>
      <c r="Y458" s="49" t="s">
        <v>1438</v>
      </c>
      <c r="Z458" s="40" t="s">
        <v>2774</v>
      </c>
      <c r="AA458" s="45" t="s">
        <v>74</v>
      </c>
      <c r="AB458" s="45" t="s">
        <v>67</v>
      </c>
      <c r="AC458" s="45" t="s">
        <v>458</v>
      </c>
      <c r="AD458" s="51" t="s">
        <v>76</v>
      </c>
      <c r="AE458" s="54"/>
      <c r="AF458" s="45" t="s">
        <v>67</v>
      </c>
      <c r="AG458" s="45"/>
      <c r="AH458" s="45">
        <v>11.0</v>
      </c>
      <c r="AI458" s="45">
        <v>7.0</v>
      </c>
      <c r="AJ458" s="45"/>
      <c r="AK458" s="45"/>
      <c r="AL458" s="45"/>
      <c r="AM458" s="45"/>
      <c r="AN458" s="45">
        <v>0.0</v>
      </c>
      <c r="AO458" s="55"/>
      <c r="AP458" s="54"/>
      <c r="AQ458" s="54"/>
      <c r="AR458" s="54"/>
      <c r="AS458" s="54"/>
      <c r="AT458" s="54"/>
    </row>
    <row r="459">
      <c r="A459" s="35" t="s">
        <v>2905</v>
      </c>
      <c r="B459" s="36" t="s">
        <v>2677</v>
      </c>
      <c r="C459" s="36" t="s">
        <v>2906</v>
      </c>
      <c r="D459" s="36" t="s">
        <v>2907</v>
      </c>
      <c r="E459" s="62" t="s">
        <v>2908</v>
      </c>
      <c r="F459" s="38" t="s">
        <v>2909</v>
      </c>
      <c r="G459" s="61">
        <v>9.35459309E8</v>
      </c>
      <c r="H459" s="40">
        <v>2642.0</v>
      </c>
      <c r="I459" s="40">
        <v>967.0</v>
      </c>
      <c r="J459" s="40" t="s">
        <v>65</v>
      </c>
      <c r="K459" s="41" t="s">
        <v>2910</v>
      </c>
      <c r="L459" s="42" t="s">
        <v>67</v>
      </c>
      <c r="M459" s="53" t="s">
        <v>2683</v>
      </c>
      <c r="N459" s="43" t="s">
        <v>2684</v>
      </c>
      <c r="O459" s="42" t="s">
        <v>2685</v>
      </c>
      <c r="P459" s="45" t="s">
        <v>67</v>
      </c>
      <c r="Q459" s="45" t="s">
        <v>67</v>
      </c>
      <c r="R459" s="46">
        <v>2.0</v>
      </c>
      <c r="S459" s="45" t="s">
        <v>67</v>
      </c>
      <c r="T459" s="64"/>
      <c r="U459" s="45" t="s">
        <v>67</v>
      </c>
      <c r="V459" s="45"/>
      <c r="W459" s="68">
        <v>46133.0</v>
      </c>
      <c r="X459" s="49" t="s">
        <v>2806</v>
      </c>
      <c r="Y459" s="49" t="s">
        <v>1240</v>
      </c>
      <c r="Z459" s="40" t="s">
        <v>2774</v>
      </c>
      <c r="AA459" s="45" t="s">
        <v>74</v>
      </c>
      <c r="AB459" s="45" t="s">
        <v>67</v>
      </c>
      <c r="AC459" s="45" t="s">
        <v>458</v>
      </c>
      <c r="AD459" s="51" t="s">
        <v>76</v>
      </c>
      <c r="AE459" s="54"/>
      <c r="AF459" s="45" t="s">
        <v>67</v>
      </c>
      <c r="AG459" s="45"/>
      <c r="AH459" s="45">
        <v>40.0</v>
      </c>
      <c r="AI459" s="45">
        <v>16.0</v>
      </c>
      <c r="AJ459" s="45"/>
      <c r="AK459" s="45"/>
      <c r="AL459" s="45"/>
      <c r="AM459" s="45"/>
      <c r="AN459" s="45">
        <v>0.0</v>
      </c>
      <c r="AO459" s="55"/>
      <c r="AP459" s="54"/>
      <c r="AQ459" s="54"/>
      <c r="AR459" s="54"/>
      <c r="AS459" s="54"/>
      <c r="AT459" s="54"/>
    </row>
    <row r="460">
      <c r="A460" s="35" t="s">
        <v>2905</v>
      </c>
      <c r="B460" s="36" t="s">
        <v>2677</v>
      </c>
      <c r="C460" s="36" t="s">
        <v>2906</v>
      </c>
      <c r="D460" s="36" t="s">
        <v>2907</v>
      </c>
      <c r="E460" s="62" t="s">
        <v>2911</v>
      </c>
      <c r="F460" s="38" t="s">
        <v>2912</v>
      </c>
      <c r="G460" s="61">
        <v>9.92549404E8</v>
      </c>
      <c r="H460" s="40">
        <v>2641.0</v>
      </c>
      <c r="I460" s="40">
        <v>966.0</v>
      </c>
      <c r="J460" s="40" t="s">
        <v>65</v>
      </c>
      <c r="K460" s="42" t="s">
        <v>2913</v>
      </c>
      <c r="L460" s="42" t="s">
        <v>67</v>
      </c>
      <c r="M460" s="53" t="s">
        <v>2683</v>
      </c>
      <c r="N460" s="43" t="s">
        <v>2684</v>
      </c>
      <c r="O460" s="42" t="s">
        <v>2685</v>
      </c>
      <c r="P460" s="45" t="s">
        <v>67</v>
      </c>
      <c r="Q460" s="45" t="s">
        <v>67</v>
      </c>
      <c r="R460" s="46">
        <v>2.0</v>
      </c>
      <c r="S460" s="45" t="s">
        <v>67</v>
      </c>
      <c r="T460" s="64"/>
      <c r="U460" s="45" t="s">
        <v>67</v>
      </c>
      <c r="V460" s="45"/>
      <c r="W460" s="68">
        <v>46133.0</v>
      </c>
      <c r="X460" s="49" t="s">
        <v>2806</v>
      </c>
      <c r="Y460" s="49" t="s">
        <v>1240</v>
      </c>
      <c r="Z460" s="40" t="s">
        <v>2774</v>
      </c>
      <c r="AA460" s="45" t="s">
        <v>74</v>
      </c>
      <c r="AB460" s="45" t="s">
        <v>67</v>
      </c>
      <c r="AC460" s="45" t="s">
        <v>458</v>
      </c>
      <c r="AD460" s="51" t="s">
        <v>76</v>
      </c>
      <c r="AE460" s="54"/>
      <c r="AF460" s="45" t="s">
        <v>67</v>
      </c>
      <c r="AG460" s="45"/>
      <c r="AH460" s="45">
        <v>0.0</v>
      </c>
      <c r="AI460" s="45">
        <v>0.0</v>
      </c>
      <c r="AJ460" s="45"/>
      <c r="AK460" s="45"/>
      <c r="AL460" s="45"/>
      <c r="AM460" s="45"/>
      <c r="AN460" s="45">
        <v>0.0</v>
      </c>
      <c r="AO460" s="55"/>
      <c r="AP460" s="54"/>
      <c r="AQ460" s="54"/>
      <c r="AR460" s="54"/>
      <c r="AS460" s="54"/>
      <c r="AT460" s="54"/>
    </row>
    <row r="461">
      <c r="A461" s="35" t="s">
        <v>2914</v>
      </c>
      <c r="B461" s="36" t="s">
        <v>2677</v>
      </c>
      <c r="C461" s="36" t="s">
        <v>2677</v>
      </c>
      <c r="D461" s="36" t="s">
        <v>2915</v>
      </c>
      <c r="E461" s="62" t="s">
        <v>2916</v>
      </c>
      <c r="F461" s="38" t="s">
        <v>2917</v>
      </c>
      <c r="G461" s="61">
        <v>9.51025079E8</v>
      </c>
      <c r="H461" s="40">
        <v>2527.0</v>
      </c>
      <c r="I461" s="40">
        <v>939.0</v>
      </c>
      <c r="J461" s="40" t="s">
        <v>65</v>
      </c>
      <c r="K461" s="41" t="s">
        <v>2918</v>
      </c>
      <c r="L461" s="42" t="s">
        <v>67</v>
      </c>
      <c r="M461" s="41" t="s">
        <v>2683</v>
      </c>
      <c r="N461" s="43" t="s">
        <v>2684</v>
      </c>
      <c r="O461" s="42" t="s">
        <v>2685</v>
      </c>
      <c r="P461" s="45"/>
      <c r="Q461" s="45" t="s">
        <v>67</v>
      </c>
      <c r="R461" s="46">
        <v>1.0</v>
      </c>
      <c r="S461" s="45" t="s">
        <v>67</v>
      </c>
      <c r="T461" s="64"/>
      <c r="U461" s="45" t="s">
        <v>67</v>
      </c>
      <c r="V461" s="45"/>
      <c r="W461" s="68">
        <v>46134.0</v>
      </c>
      <c r="X461" s="49" t="s">
        <v>2919</v>
      </c>
      <c r="Y461" s="49" t="s">
        <v>2920</v>
      </c>
      <c r="Z461" s="40" t="s">
        <v>2774</v>
      </c>
      <c r="AA461" s="45" t="s">
        <v>74</v>
      </c>
      <c r="AB461" s="45" t="s">
        <v>67</v>
      </c>
      <c r="AC461" s="45" t="s">
        <v>620</v>
      </c>
      <c r="AD461" s="51" t="s">
        <v>76</v>
      </c>
      <c r="AE461" s="54"/>
      <c r="AF461" s="45" t="s">
        <v>67</v>
      </c>
      <c r="AG461" s="45"/>
      <c r="AH461" s="45">
        <v>15.0</v>
      </c>
      <c r="AI461" s="45">
        <v>18.0</v>
      </c>
      <c r="AJ461" s="45"/>
      <c r="AK461" s="45"/>
      <c r="AL461" s="45"/>
      <c r="AM461" s="45"/>
      <c r="AN461" s="45">
        <v>0.0</v>
      </c>
      <c r="AO461" s="55"/>
      <c r="AP461" s="54"/>
      <c r="AQ461" s="54"/>
      <c r="AR461" s="54"/>
      <c r="AS461" s="54"/>
      <c r="AT461" s="54"/>
    </row>
    <row r="462">
      <c r="A462" s="35" t="s">
        <v>2921</v>
      </c>
      <c r="B462" s="36" t="s">
        <v>2677</v>
      </c>
      <c r="C462" s="36" t="s">
        <v>2695</v>
      </c>
      <c r="D462" s="36" t="s">
        <v>2922</v>
      </c>
      <c r="E462" s="62" t="s">
        <v>2923</v>
      </c>
      <c r="F462" s="38" t="s">
        <v>2924</v>
      </c>
      <c r="G462" s="61">
        <v>9.26312804E8</v>
      </c>
      <c r="H462" s="40">
        <v>2640.0</v>
      </c>
      <c r="I462" s="40">
        <v>965.0</v>
      </c>
      <c r="J462" s="40" t="s">
        <v>65</v>
      </c>
      <c r="K462" s="42" t="s">
        <v>2925</v>
      </c>
      <c r="L462" s="42" t="s">
        <v>74</v>
      </c>
      <c r="M462" s="41" t="s">
        <v>2683</v>
      </c>
      <c r="N462" s="43" t="s">
        <v>2684</v>
      </c>
      <c r="O462" s="42" t="s">
        <v>2685</v>
      </c>
      <c r="P462" s="45"/>
      <c r="Q462" s="45" t="s">
        <v>67</v>
      </c>
      <c r="R462" s="46">
        <v>1.0</v>
      </c>
      <c r="S462" s="45" t="s">
        <v>67</v>
      </c>
      <c r="T462" s="58" t="s">
        <v>2926</v>
      </c>
      <c r="U462" s="45" t="s">
        <v>67</v>
      </c>
      <c r="V462" s="45"/>
      <c r="W462" s="68">
        <v>46133.0</v>
      </c>
      <c r="X462" s="49" t="s">
        <v>2806</v>
      </c>
      <c r="Y462" s="49" t="s">
        <v>378</v>
      </c>
      <c r="Z462" s="40" t="s">
        <v>2774</v>
      </c>
      <c r="AA462" s="45" t="s">
        <v>74</v>
      </c>
      <c r="AB462" s="45" t="s">
        <v>67</v>
      </c>
      <c r="AC462" s="45" t="s">
        <v>135</v>
      </c>
      <c r="AD462" s="51" t="s">
        <v>76</v>
      </c>
      <c r="AE462" s="54"/>
      <c r="AF462" s="45" t="s">
        <v>67</v>
      </c>
      <c r="AG462" s="45"/>
      <c r="AH462" s="45">
        <v>22.0</v>
      </c>
      <c r="AI462" s="45">
        <v>28.0</v>
      </c>
      <c r="AJ462" s="45"/>
      <c r="AK462" s="45"/>
      <c r="AL462" s="45"/>
      <c r="AM462" s="45"/>
      <c r="AN462" s="45">
        <v>0.0</v>
      </c>
      <c r="AO462" s="55"/>
      <c r="AP462" s="54"/>
      <c r="AQ462" s="54"/>
      <c r="AR462" s="54"/>
      <c r="AS462" s="54"/>
      <c r="AT462" s="54"/>
    </row>
    <row r="463">
      <c r="A463" s="35" t="s">
        <v>2927</v>
      </c>
      <c r="B463" s="36" t="s">
        <v>2677</v>
      </c>
      <c r="C463" s="36" t="s">
        <v>2678</v>
      </c>
      <c r="D463" s="36" t="s">
        <v>2928</v>
      </c>
      <c r="E463" s="62" t="s">
        <v>2929</v>
      </c>
      <c r="F463" s="38" t="s">
        <v>2930</v>
      </c>
      <c r="G463" s="61">
        <v>9.51989564E8</v>
      </c>
      <c r="H463" s="40">
        <v>2626.0</v>
      </c>
      <c r="I463" s="40">
        <v>949.0</v>
      </c>
      <c r="J463" s="40" t="s">
        <v>65</v>
      </c>
      <c r="K463" s="41" t="s">
        <v>2931</v>
      </c>
      <c r="L463" s="42" t="s">
        <v>67</v>
      </c>
      <c r="M463" s="53" t="s">
        <v>2683</v>
      </c>
      <c r="N463" s="43" t="s">
        <v>2684</v>
      </c>
      <c r="O463" s="42" t="s">
        <v>2685</v>
      </c>
      <c r="P463" s="45" t="s">
        <v>67</v>
      </c>
      <c r="Q463" s="45" t="s">
        <v>67</v>
      </c>
      <c r="R463" s="46">
        <v>2.0</v>
      </c>
      <c r="S463" s="45" t="s">
        <v>67</v>
      </c>
      <c r="T463" s="64"/>
      <c r="U463" s="45" t="s">
        <v>67</v>
      </c>
      <c r="V463" s="45"/>
      <c r="W463" s="68">
        <v>46133.0</v>
      </c>
      <c r="X463" s="49" t="s">
        <v>2932</v>
      </c>
      <c r="Y463" s="49" t="s">
        <v>893</v>
      </c>
      <c r="Z463" s="40" t="s">
        <v>2774</v>
      </c>
      <c r="AA463" s="45" t="s">
        <v>74</v>
      </c>
      <c r="AB463" s="45" t="s">
        <v>67</v>
      </c>
      <c r="AC463" s="45" t="s">
        <v>458</v>
      </c>
      <c r="AD463" s="51" t="s">
        <v>76</v>
      </c>
      <c r="AE463" s="54"/>
      <c r="AF463" s="45" t="s">
        <v>67</v>
      </c>
      <c r="AG463" s="45"/>
      <c r="AH463" s="45">
        <v>14.0</v>
      </c>
      <c r="AI463" s="45">
        <v>17.0</v>
      </c>
      <c r="AJ463" s="45"/>
      <c r="AK463" s="45"/>
      <c r="AL463" s="45"/>
      <c r="AM463" s="45"/>
      <c r="AN463" s="45">
        <v>0.0</v>
      </c>
      <c r="AO463" s="55"/>
      <c r="AP463" s="54"/>
      <c r="AQ463" s="54"/>
      <c r="AR463" s="54"/>
      <c r="AS463" s="54"/>
      <c r="AT463" s="54"/>
    </row>
    <row r="464">
      <c r="A464" s="35" t="s">
        <v>2933</v>
      </c>
      <c r="B464" s="36" t="s">
        <v>2677</v>
      </c>
      <c r="C464" s="36" t="s">
        <v>2819</v>
      </c>
      <c r="D464" s="36" t="s">
        <v>2934</v>
      </c>
      <c r="E464" s="62" t="s">
        <v>2935</v>
      </c>
      <c r="F464" s="38" t="s">
        <v>2936</v>
      </c>
      <c r="G464" s="61">
        <v>9.99979797E8</v>
      </c>
      <c r="H464" s="40">
        <v>2637.0</v>
      </c>
      <c r="I464" s="40">
        <v>962.0</v>
      </c>
      <c r="J464" s="40" t="s">
        <v>65</v>
      </c>
      <c r="K464" s="41" t="s">
        <v>2937</v>
      </c>
      <c r="L464" s="42" t="s">
        <v>67</v>
      </c>
      <c r="M464" s="41" t="s">
        <v>2683</v>
      </c>
      <c r="N464" s="43" t="s">
        <v>2684</v>
      </c>
      <c r="O464" s="42" t="s">
        <v>2685</v>
      </c>
      <c r="P464" s="45"/>
      <c r="Q464" s="45" t="s">
        <v>67</v>
      </c>
      <c r="R464" s="46">
        <v>1.0</v>
      </c>
      <c r="S464" s="45" t="s">
        <v>67</v>
      </c>
      <c r="T464" s="64"/>
      <c r="U464" s="45" t="s">
        <v>67</v>
      </c>
      <c r="V464" s="45"/>
      <c r="W464" s="68">
        <v>46133.0</v>
      </c>
      <c r="X464" s="49" t="s">
        <v>2806</v>
      </c>
      <c r="Y464" s="49" t="s">
        <v>893</v>
      </c>
      <c r="Z464" s="40" t="s">
        <v>2774</v>
      </c>
      <c r="AA464" s="45" t="s">
        <v>74</v>
      </c>
      <c r="AB464" s="45" t="s">
        <v>67</v>
      </c>
      <c r="AC464" s="45" t="s">
        <v>458</v>
      </c>
      <c r="AD464" s="51" t="s">
        <v>76</v>
      </c>
      <c r="AE464" s="54"/>
      <c r="AF464" s="45" t="s">
        <v>67</v>
      </c>
      <c r="AG464" s="45"/>
      <c r="AH464" s="45">
        <v>27.0</v>
      </c>
      <c r="AI464" s="45">
        <v>10.0</v>
      </c>
      <c r="AJ464" s="45"/>
      <c r="AK464" s="45"/>
      <c r="AL464" s="45"/>
      <c r="AM464" s="45"/>
      <c r="AN464" s="45">
        <v>0.0</v>
      </c>
      <c r="AO464" s="55"/>
      <c r="AP464" s="54"/>
      <c r="AQ464" s="54"/>
      <c r="AR464" s="54"/>
      <c r="AS464" s="54"/>
      <c r="AT464" s="54"/>
    </row>
    <row r="465">
      <c r="A465" s="35" t="s">
        <v>2938</v>
      </c>
      <c r="B465" s="36" t="s">
        <v>2677</v>
      </c>
      <c r="C465" s="36" t="s">
        <v>2688</v>
      </c>
      <c r="D465" s="36" t="s">
        <v>2939</v>
      </c>
      <c r="E465" s="62" t="s">
        <v>2940</v>
      </c>
      <c r="F465" s="38" t="s">
        <v>2941</v>
      </c>
      <c r="G465" s="61">
        <v>9.28044381E8</v>
      </c>
      <c r="H465" s="40">
        <v>2649.0</v>
      </c>
      <c r="I465" s="40">
        <v>974.0</v>
      </c>
      <c r="J465" s="40" t="s">
        <v>65</v>
      </c>
      <c r="K465" s="42" t="s">
        <v>2942</v>
      </c>
      <c r="L465" s="42" t="s">
        <v>67</v>
      </c>
      <c r="M465" s="53" t="s">
        <v>2683</v>
      </c>
      <c r="N465" s="43" t="s">
        <v>2684</v>
      </c>
      <c r="O465" s="42" t="s">
        <v>2685</v>
      </c>
      <c r="P465" s="45" t="s">
        <v>67</v>
      </c>
      <c r="Q465" s="45" t="s">
        <v>67</v>
      </c>
      <c r="R465" s="46">
        <v>2.0</v>
      </c>
      <c r="S465" s="45" t="s">
        <v>67</v>
      </c>
      <c r="T465" s="64"/>
      <c r="U465" s="45" t="s">
        <v>67</v>
      </c>
      <c r="V465" s="45"/>
      <c r="W465" s="68">
        <v>46133.0</v>
      </c>
      <c r="X465" s="49" t="s">
        <v>2806</v>
      </c>
      <c r="Y465" s="49" t="s">
        <v>1240</v>
      </c>
      <c r="Z465" s="40" t="s">
        <v>2774</v>
      </c>
      <c r="AA465" s="45" t="s">
        <v>74</v>
      </c>
      <c r="AB465" s="45" t="s">
        <v>67</v>
      </c>
      <c r="AC465" s="45" t="s">
        <v>458</v>
      </c>
      <c r="AD465" s="51" t="s">
        <v>76</v>
      </c>
      <c r="AE465" s="54"/>
      <c r="AF465" s="45" t="s">
        <v>67</v>
      </c>
      <c r="AG465" s="45"/>
      <c r="AH465" s="45">
        <v>17.0</v>
      </c>
      <c r="AI465" s="45">
        <v>14.0</v>
      </c>
      <c r="AJ465" s="45"/>
      <c r="AK465" s="45"/>
      <c r="AL465" s="45"/>
      <c r="AM465" s="45"/>
      <c r="AN465" s="45">
        <v>0.0</v>
      </c>
      <c r="AO465" s="55"/>
      <c r="AP465" s="54"/>
      <c r="AQ465" s="54"/>
      <c r="AR465" s="54"/>
      <c r="AS465" s="54"/>
      <c r="AT465" s="54"/>
    </row>
    <row r="466">
      <c r="A466" s="35" t="s">
        <v>2943</v>
      </c>
      <c r="B466" s="36" t="s">
        <v>2944</v>
      </c>
      <c r="C466" s="36" t="s">
        <v>2945</v>
      </c>
      <c r="D466" s="36" t="s">
        <v>2946</v>
      </c>
      <c r="E466" s="62" t="s">
        <v>2947</v>
      </c>
      <c r="F466" s="38" t="s">
        <v>2948</v>
      </c>
      <c r="G466" s="61" t="s">
        <v>2949</v>
      </c>
      <c r="H466" s="40"/>
      <c r="I466" s="40">
        <v>1068.0</v>
      </c>
      <c r="J466" s="40" t="s">
        <v>65</v>
      </c>
      <c r="K466" s="41" t="s">
        <v>2950</v>
      </c>
      <c r="L466" s="42" t="s">
        <v>67</v>
      </c>
      <c r="M466" s="41" t="s">
        <v>2951</v>
      </c>
      <c r="N466" s="43" t="s">
        <v>2952</v>
      </c>
      <c r="O466" s="44">
        <v>0.0</v>
      </c>
      <c r="P466" s="45"/>
      <c r="Q466" s="45" t="s">
        <v>67</v>
      </c>
      <c r="R466" s="46">
        <v>1.0</v>
      </c>
      <c r="S466" s="45" t="s">
        <v>67</v>
      </c>
      <c r="T466" s="64"/>
      <c r="U466" s="45" t="s">
        <v>67</v>
      </c>
      <c r="V466" s="45"/>
      <c r="W466" s="68">
        <v>46132.0</v>
      </c>
      <c r="X466" s="49" t="s">
        <v>2953</v>
      </c>
      <c r="Y466" s="49" t="s">
        <v>1183</v>
      </c>
      <c r="Z466" s="40" t="s">
        <v>2774</v>
      </c>
      <c r="AA466" s="45" t="s">
        <v>74</v>
      </c>
      <c r="AB466" s="45" t="s">
        <v>67</v>
      </c>
      <c r="AC466" s="45" t="s">
        <v>458</v>
      </c>
      <c r="AD466" s="51" t="s">
        <v>76</v>
      </c>
      <c r="AE466" s="54"/>
      <c r="AF466" s="45" t="s">
        <v>67</v>
      </c>
      <c r="AG466" s="45"/>
      <c r="AH466" s="45">
        <v>30.0</v>
      </c>
      <c r="AI466" s="45"/>
      <c r="AJ466" s="45"/>
      <c r="AK466" s="45"/>
      <c r="AL466" s="45"/>
      <c r="AM466" s="45"/>
      <c r="AN466" s="45">
        <v>0.0</v>
      </c>
      <c r="AO466" s="55"/>
      <c r="AP466" s="54"/>
      <c r="AQ466" s="54"/>
      <c r="AR466" s="54"/>
      <c r="AS466" s="54"/>
      <c r="AT466" s="54"/>
    </row>
    <row r="467">
      <c r="A467" s="35" t="s">
        <v>2943</v>
      </c>
      <c r="B467" s="36" t="s">
        <v>2944</v>
      </c>
      <c r="C467" s="36" t="s">
        <v>2945</v>
      </c>
      <c r="D467" s="36" t="s">
        <v>2946</v>
      </c>
      <c r="E467" s="62" t="s">
        <v>2954</v>
      </c>
      <c r="F467" s="38" t="s">
        <v>2955</v>
      </c>
      <c r="G467" s="61">
        <v>9.99204217E8</v>
      </c>
      <c r="H467" s="40"/>
      <c r="I467" s="40">
        <v>754.0</v>
      </c>
      <c r="J467" s="40" t="s">
        <v>65</v>
      </c>
      <c r="K467" s="41" t="s">
        <v>2956</v>
      </c>
      <c r="L467" s="42" t="s">
        <v>74</v>
      </c>
      <c r="M467" s="41" t="s">
        <v>2951</v>
      </c>
      <c r="N467" s="43" t="s">
        <v>2952</v>
      </c>
      <c r="O467" s="44">
        <v>0.0</v>
      </c>
      <c r="P467" s="45"/>
      <c r="Q467" s="45" t="s">
        <v>67</v>
      </c>
      <c r="R467" s="46">
        <v>1.0</v>
      </c>
      <c r="S467" s="45" t="s">
        <v>67</v>
      </c>
      <c r="T467" s="64"/>
      <c r="U467" s="45" t="s">
        <v>67</v>
      </c>
      <c r="V467" s="45"/>
      <c r="W467" s="68">
        <v>46133.0</v>
      </c>
      <c r="X467" s="49" t="s">
        <v>2953</v>
      </c>
      <c r="Y467" s="49" t="s">
        <v>1240</v>
      </c>
      <c r="Z467" s="50" t="s">
        <v>2774</v>
      </c>
      <c r="AA467" s="45" t="s">
        <v>74</v>
      </c>
      <c r="AB467" s="45" t="s">
        <v>67</v>
      </c>
      <c r="AC467" s="45" t="s">
        <v>458</v>
      </c>
      <c r="AD467" s="51" t="s">
        <v>76</v>
      </c>
      <c r="AE467" s="54"/>
      <c r="AF467" s="45" t="s">
        <v>67</v>
      </c>
      <c r="AG467" s="45"/>
      <c r="AH467" s="45">
        <v>0.0</v>
      </c>
      <c r="AI467" s="45"/>
      <c r="AJ467" s="45"/>
      <c r="AK467" s="45"/>
      <c r="AL467" s="45"/>
      <c r="AM467" s="45"/>
      <c r="AN467" s="45">
        <v>0.0</v>
      </c>
      <c r="AO467" s="55"/>
      <c r="AP467" s="54"/>
      <c r="AQ467" s="54"/>
      <c r="AR467" s="54"/>
      <c r="AS467" s="54"/>
      <c r="AT467" s="54"/>
    </row>
    <row r="468">
      <c r="A468" s="141" t="s">
        <v>2957</v>
      </c>
      <c r="B468" s="142" t="s">
        <v>2944</v>
      </c>
      <c r="C468" s="142" t="s">
        <v>2958</v>
      </c>
      <c r="D468" s="142" t="s">
        <v>2959</v>
      </c>
      <c r="E468" s="143" t="s">
        <v>2960</v>
      </c>
      <c r="F468" s="144" t="s">
        <v>2961</v>
      </c>
      <c r="G468" s="142">
        <v>9.76475862E8</v>
      </c>
      <c r="H468" s="145"/>
      <c r="I468" s="145">
        <v>755.0</v>
      </c>
      <c r="J468" s="145" t="s">
        <v>65</v>
      </c>
      <c r="K468" s="146" t="s">
        <v>2962</v>
      </c>
      <c r="L468" s="42" t="s">
        <v>67</v>
      </c>
      <c r="M468" s="147" t="s">
        <v>2951</v>
      </c>
      <c r="N468" s="148" t="s">
        <v>2952</v>
      </c>
      <c r="O468" s="204">
        <v>0.0</v>
      </c>
      <c r="P468" s="149"/>
      <c r="Q468" s="149" t="s">
        <v>67</v>
      </c>
      <c r="R468" s="150">
        <v>1.0</v>
      </c>
      <c r="S468" s="149" t="s">
        <v>67</v>
      </c>
      <c r="T468" s="205"/>
      <c r="U468" s="149" t="s">
        <v>67</v>
      </c>
      <c r="V468" s="149" t="s">
        <v>970</v>
      </c>
      <c r="W468" s="206">
        <v>46074.0</v>
      </c>
      <c r="X468" s="152" t="s">
        <v>2963</v>
      </c>
      <c r="Y468" s="152" t="s">
        <v>2430</v>
      </c>
      <c r="Z468" s="145" t="s">
        <v>2964</v>
      </c>
      <c r="AA468" s="45" t="s">
        <v>74</v>
      </c>
      <c r="AB468" s="45" t="s">
        <v>67</v>
      </c>
      <c r="AC468" s="45" t="s">
        <v>2965</v>
      </c>
      <c r="AD468" s="51" t="s">
        <v>76</v>
      </c>
      <c r="AE468" s="154"/>
      <c r="AF468" s="149" t="s">
        <v>67</v>
      </c>
      <c r="AG468" s="149"/>
      <c r="AH468" s="45">
        <v>0.0</v>
      </c>
      <c r="AI468" s="45"/>
      <c r="AJ468" s="45"/>
      <c r="AK468" s="45"/>
      <c r="AL468" s="45"/>
      <c r="AM468" s="45"/>
      <c r="AN468" s="45">
        <v>0.0</v>
      </c>
      <c r="AO468" s="155"/>
      <c r="AP468" s="154"/>
      <c r="AQ468" s="154"/>
      <c r="AR468" s="154"/>
      <c r="AS468" s="154"/>
      <c r="AT468" s="154"/>
    </row>
    <row r="469">
      <c r="A469" s="141" t="s">
        <v>2966</v>
      </c>
      <c r="B469" s="142" t="s">
        <v>2944</v>
      </c>
      <c r="C469" s="142" t="s">
        <v>2967</v>
      </c>
      <c r="D469" s="142" t="s">
        <v>2968</v>
      </c>
      <c r="E469" s="143" t="s">
        <v>2969</v>
      </c>
      <c r="F469" s="144" t="s">
        <v>2970</v>
      </c>
      <c r="G469" s="142" t="s">
        <v>2971</v>
      </c>
      <c r="H469" s="145"/>
      <c r="I469" s="145">
        <v>757.0</v>
      </c>
      <c r="J469" s="145" t="s">
        <v>65</v>
      </c>
      <c r="K469" s="147" t="s">
        <v>2972</v>
      </c>
      <c r="L469" s="42" t="s">
        <v>67</v>
      </c>
      <c r="M469" s="147" t="s">
        <v>2951</v>
      </c>
      <c r="N469" s="148" t="s">
        <v>2952</v>
      </c>
      <c r="O469" s="204">
        <v>0.0</v>
      </c>
      <c r="P469" s="149"/>
      <c r="Q469" s="149" t="s">
        <v>67</v>
      </c>
      <c r="R469" s="150">
        <v>1.0</v>
      </c>
      <c r="S469" s="149" t="s">
        <v>67</v>
      </c>
      <c r="T469" s="205"/>
      <c r="U469" s="149" t="s">
        <v>67</v>
      </c>
      <c r="V469" s="149" t="s">
        <v>970</v>
      </c>
      <c r="W469" s="206">
        <v>46133.0</v>
      </c>
      <c r="X469" s="152" t="s">
        <v>2963</v>
      </c>
      <c r="Y469" s="152" t="s">
        <v>1400</v>
      </c>
      <c r="Z469" s="145" t="s">
        <v>2964</v>
      </c>
      <c r="AA469" s="45" t="s">
        <v>74</v>
      </c>
      <c r="AB469" s="45" t="s">
        <v>67</v>
      </c>
      <c r="AC469" s="45" t="s">
        <v>135</v>
      </c>
      <c r="AD469" s="51" t="s">
        <v>76</v>
      </c>
      <c r="AE469" s="154"/>
      <c r="AF469" s="149" t="s">
        <v>67</v>
      </c>
      <c r="AG469" s="149"/>
      <c r="AH469" s="45">
        <v>0.0</v>
      </c>
      <c r="AI469" s="45"/>
      <c r="AJ469" s="45"/>
      <c r="AK469" s="45"/>
      <c r="AL469" s="45"/>
      <c r="AM469" s="45"/>
      <c r="AN469" s="45">
        <v>0.0</v>
      </c>
      <c r="AO469" s="155"/>
      <c r="AP469" s="154"/>
      <c r="AQ469" s="154"/>
      <c r="AR469" s="154"/>
      <c r="AS469" s="154"/>
      <c r="AT469" s="154"/>
    </row>
    <row r="470">
      <c r="A470" s="141" t="s">
        <v>2973</v>
      </c>
      <c r="B470" s="142" t="s">
        <v>2944</v>
      </c>
      <c r="C470" s="142" t="s">
        <v>2944</v>
      </c>
      <c r="D470" s="207" t="s">
        <v>2974</v>
      </c>
      <c r="E470" s="143" t="s">
        <v>2975</v>
      </c>
      <c r="F470" s="144" t="s">
        <v>2976</v>
      </c>
      <c r="G470" s="142">
        <v>9.25632293E8</v>
      </c>
      <c r="H470" s="145"/>
      <c r="I470" s="145">
        <v>760.0</v>
      </c>
      <c r="J470" s="145" t="s">
        <v>65</v>
      </c>
      <c r="K470" s="146" t="s">
        <v>2977</v>
      </c>
      <c r="L470" s="42" t="s">
        <v>67</v>
      </c>
      <c r="M470" s="147" t="s">
        <v>2951</v>
      </c>
      <c r="N470" s="148" t="s">
        <v>2952</v>
      </c>
      <c r="O470" s="204">
        <v>0.0</v>
      </c>
      <c r="P470" s="149" t="s">
        <v>67</v>
      </c>
      <c r="Q470" s="149" t="s">
        <v>67</v>
      </c>
      <c r="R470" s="150">
        <v>1.0</v>
      </c>
      <c r="S470" s="149" t="s">
        <v>67</v>
      </c>
      <c r="T470" s="205"/>
      <c r="U470" s="149" t="s">
        <v>67</v>
      </c>
      <c r="V470" s="149" t="s">
        <v>970</v>
      </c>
      <c r="W470" s="206">
        <v>46133.0</v>
      </c>
      <c r="X470" s="152" t="s">
        <v>2963</v>
      </c>
      <c r="Y470" s="152" t="s">
        <v>393</v>
      </c>
      <c r="Z470" s="145" t="s">
        <v>2964</v>
      </c>
      <c r="AA470" s="45" t="s">
        <v>74</v>
      </c>
      <c r="AB470" s="45" t="s">
        <v>67</v>
      </c>
      <c r="AC470" s="45" t="s">
        <v>195</v>
      </c>
      <c r="AD470" s="51" t="s">
        <v>76</v>
      </c>
      <c r="AE470" s="154"/>
      <c r="AF470" s="149" t="s">
        <v>67</v>
      </c>
      <c r="AG470" s="149"/>
      <c r="AH470" s="45">
        <v>0.0</v>
      </c>
      <c r="AI470" s="45"/>
      <c r="AJ470" s="45"/>
      <c r="AK470" s="45"/>
      <c r="AL470" s="45"/>
      <c r="AM470" s="45"/>
      <c r="AN470" s="45">
        <v>0.0</v>
      </c>
      <c r="AO470" s="155"/>
      <c r="AP470" s="154"/>
      <c r="AQ470" s="154"/>
      <c r="AR470" s="154"/>
      <c r="AS470" s="154"/>
      <c r="AT470" s="154"/>
    </row>
    <row r="471">
      <c r="A471" s="141" t="s">
        <v>2978</v>
      </c>
      <c r="B471" s="142" t="s">
        <v>2944</v>
      </c>
      <c r="C471" s="142" t="s">
        <v>2944</v>
      </c>
      <c r="D471" s="142" t="s">
        <v>2979</v>
      </c>
      <c r="E471" s="143" t="s">
        <v>2980</v>
      </c>
      <c r="F471" s="144" t="s">
        <v>2981</v>
      </c>
      <c r="G471" s="142">
        <v>9.29948975E8</v>
      </c>
      <c r="H471" s="145"/>
      <c r="I471" s="145">
        <v>761.0</v>
      </c>
      <c r="J471" s="145" t="s">
        <v>65</v>
      </c>
      <c r="K471" s="147" t="s">
        <v>2982</v>
      </c>
      <c r="L471" s="42" t="s">
        <v>67</v>
      </c>
      <c r="M471" s="147" t="s">
        <v>2951</v>
      </c>
      <c r="N471" s="148" t="s">
        <v>2952</v>
      </c>
      <c r="O471" s="204">
        <v>0.0</v>
      </c>
      <c r="P471" s="149"/>
      <c r="Q471" s="149" t="s">
        <v>67</v>
      </c>
      <c r="R471" s="150">
        <v>1.0</v>
      </c>
      <c r="S471" s="149" t="s">
        <v>67</v>
      </c>
      <c r="T471" s="205"/>
      <c r="U471" s="149" t="s">
        <v>67</v>
      </c>
      <c r="V471" s="149" t="s">
        <v>970</v>
      </c>
      <c r="W471" s="206">
        <v>46133.0</v>
      </c>
      <c r="X471" s="152" t="s">
        <v>2963</v>
      </c>
      <c r="Y471" s="152" t="s">
        <v>378</v>
      </c>
      <c r="Z471" s="145" t="s">
        <v>2964</v>
      </c>
      <c r="AA471" s="45" t="s">
        <v>74</v>
      </c>
      <c r="AB471" s="45" t="s">
        <v>67</v>
      </c>
      <c r="AC471" s="45" t="s">
        <v>458</v>
      </c>
      <c r="AD471" s="51" t="s">
        <v>76</v>
      </c>
      <c r="AE471" s="154"/>
      <c r="AF471" s="149" t="s">
        <v>67</v>
      </c>
      <c r="AG471" s="149"/>
      <c r="AH471" s="45">
        <v>0.0</v>
      </c>
      <c r="AI471" s="45"/>
      <c r="AJ471" s="45"/>
      <c r="AK471" s="45"/>
      <c r="AL471" s="45"/>
      <c r="AM471" s="45"/>
      <c r="AN471" s="45">
        <v>0.0</v>
      </c>
      <c r="AO471" s="155"/>
      <c r="AP471" s="154"/>
      <c r="AQ471" s="154"/>
      <c r="AR471" s="154"/>
      <c r="AS471" s="154"/>
      <c r="AT471" s="154"/>
    </row>
    <row r="472">
      <c r="A472" s="141" t="s">
        <v>2983</v>
      </c>
      <c r="B472" s="142" t="s">
        <v>2944</v>
      </c>
      <c r="C472" s="142" t="s">
        <v>2945</v>
      </c>
      <c r="D472" s="207" t="s">
        <v>2984</v>
      </c>
      <c r="E472" s="143" t="s">
        <v>2985</v>
      </c>
      <c r="F472" s="144" t="s">
        <v>2986</v>
      </c>
      <c r="G472" s="142">
        <v>9.66709597E8</v>
      </c>
      <c r="H472" s="145"/>
      <c r="I472" s="145">
        <v>764.0</v>
      </c>
      <c r="J472" s="145" t="s">
        <v>65</v>
      </c>
      <c r="K472" s="147" t="s">
        <v>2987</v>
      </c>
      <c r="L472" s="42" t="s">
        <v>67</v>
      </c>
      <c r="M472" s="147" t="s">
        <v>2951</v>
      </c>
      <c r="N472" s="148" t="s">
        <v>2952</v>
      </c>
      <c r="O472" s="204">
        <v>0.0</v>
      </c>
      <c r="P472" s="149"/>
      <c r="Q472" s="149" t="s">
        <v>67</v>
      </c>
      <c r="R472" s="150">
        <v>1.0</v>
      </c>
      <c r="S472" s="149" t="s">
        <v>67</v>
      </c>
      <c r="T472" s="205"/>
      <c r="U472" s="149" t="s">
        <v>67</v>
      </c>
      <c r="V472" s="149" t="s">
        <v>970</v>
      </c>
      <c r="W472" s="206">
        <v>46132.0</v>
      </c>
      <c r="X472" s="152" t="s">
        <v>2963</v>
      </c>
      <c r="Y472" s="152" t="s">
        <v>1192</v>
      </c>
      <c r="Z472" s="145" t="s">
        <v>2964</v>
      </c>
      <c r="AA472" s="45" t="s">
        <v>74</v>
      </c>
      <c r="AB472" s="45" t="s">
        <v>67</v>
      </c>
      <c r="AC472" s="45" t="s">
        <v>306</v>
      </c>
      <c r="AD472" s="51" t="s">
        <v>76</v>
      </c>
      <c r="AE472" s="154"/>
      <c r="AF472" s="149" t="s">
        <v>67</v>
      </c>
      <c r="AG472" s="149"/>
      <c r="AH472" s="45">
        <v>0.0</v>
      </c>
      <c r="AI472" s="45"/>
      <c r="AJ472" s="45"/>
      <c r="AK472" s="45"/>
      <c r="AL472" s="45"/>
      <c r="AM472" s="45"/>
      <c r="AN472" s="45">
        <v>0.0</v>
      </c>
      <c r="AO472" s="155"/>
      <c r="AP472" s="154"/>
      <c r="AQ472" s="154"/>
      <c r="AR472" s="154"/>
      <c r="AS472" s="154"/>
      <c r="AT472" s="154"/>
    </row>
    <row r="473">
      <c r="A473" s="141" t="s">
        <v>2988</v>
      </c>
      <c r="B473" s="142" t="s">
        <v>2944</v>
      </c>
      <c r="C473" s="142" t="s">
        <v>2989</v>
      </c>
      <c r="D473" s="142" t="s">
        <v>2990</v>
      </c>
      <c r="E473" s="143" t="s">
        <v>2991</v>
      </c>
      <c r="F473" s="144" t="s">
        <v>2992</v>
      </c>
      <c r="G473" s="142">
        <v>9.57870153E8</v>
      </c>
      <c r="H473" s="145"/>
      <c r="I473" s="145">
        <v>1069.0</v>
      </c>
      <c r="J473" s="145" t="s">
        <v>65</v>
      </c>
      <c r="K473" s="146" t="s">
        <v>2993</v>
      </c>
      <c r="L473" s="42" t="s">
        <v>67</v>
      </c>
      <c r="M473" s="147" t="s">
        <v>2951</v>
      </c>
      <c r="N473" s="148" t="s">
        <v>2952</v>
      </c>
      <c r="O473" s="204">
        <v>0.0</v>
      </c>
      <c r="P473" s="149" t="s">
        <v>67</v>
      </c>
      <c r="Q473" s="149" t="s">
        <v>67</v>
      </c>
      <c r="R473" s="150">
        <v>1.0</v>
      </c>
      <c r="S473" s="149" t="s">
        <v>67</v>
      </c>
      <c r="T473" s="205"/>
      <c r="U473" s="149" t="s">
        <v>67</v>
      </c>
      <c r="V473" s="149" t="s">
        <v>970</v>
      </c>
      <c r="W473" s="206">
        <v>46132.0</v>
      </c>
      <c r="X473" s="152" t="s">
        <v>2963</v>
      </c>
      <c r="Y473" s="152" t="s">
        <v>2430</v>
      </c>
      <c r="Z473" s="145" t="s">
        <v>2964</v>
      </c>
      <c r="AA473" s="45" t="s">
        <v>74</v>
      </c>
      <c r="AB473" s="45" t="s">
        <v>67</v>
      </c>
      <c r="AC473" s="45" t="s">
        <v>149</v>
      </c>
      <c r="AD473" s="51" t="s">
        <v>76</v>
      </c>
      <c r="AE473" s="154"/>
      <c r="AF473" s="149" t="s">
        <v>67</v>
      </c>
      <c r="AG473" s="149"/>
      <c r="AH473" s="45">
        <v>0.0</v>
      </c>
      <c r="AI473" s="45"/>
      <c r="AJ473" s="45"/>
      <c r="AK473" s="45"/>
      <c r="AL473" s="45"/>
      <c r="AM473" s="45"/>
      <c r="AN473" s="45">
        <v>0.0</v>
      </c>
      <c r="AO473" s="155"/>
      <c r="AP473" s="154"/>
      <c r="AQ473" s="154"/>
      <c r="AR473" s="154"/>
      <c r="AS473" s="154"/>
      <c r="AT473" s="154"/>
    </row>
    <row r="474">
      <c r="A474" s="141" t="s">
        <v>2994</v>
      </c>
      <c r="B474" s="142" t="s">
        <v>2944</v>
      </c>
      <c r="C474" s="142" t="s">
        <v>2944</v>
      </c>
      <c r="D474" s="142" t="s">
        <v>2995</v>
      </c>
      <c r="E474" s="143" t="s">
        <v>2996</v>
      </c>
      <c r="F474" s="144" t="s">
        <v>2997</v>
      </c>
      <c r="G474" s="142">
        <v>9.01928172E8</v>
      </c>
      <c r="H474" s="145"/>
      <c r="I474" s="145">
        <v>762.0</v>
      </c>
      <c r="J474" s="145" t="s">
        <v>65</v>
      </c>
      <c r="K474" s="147" t="s">
        <v>2998</v>
      </c>
      <c r="L474" s="42" t="s">
        <v>67</v>
      </c>
      <c r="M474" s="147" t="s">
        <v>2951</v>
      </c>
      <c r="N474" s="148" t="s">
        <v>2952</v>
      </c>
      <c r="O474" s="204">
        <v>0.0</v>
      </c>
      <c r="P474" s="149" t="s">
        <v>67</v>
      </c>
      <c r="Q474" s="149" t="s">
        <v>67</v>
      </c>
      <c r="R474" s="150">
        <v>1.0</v>
      </c>
      <c r="S474" s="149" t="s">
        <v>67</v>
      </c>
      <c r="T474" s="205"/>
      <c r="U474" s="149" t="s">
        <v>67</v>
      </c>
      <c r="V474" s="149" t="s">
        <v>970</v>
      </c>
      <c r="W474" s="208">
        <v>46131.0</v>
      </c>
      <c r="X474" s="116" t="s">
        <v>2963</v>
      </c>
      <c r="Y474" s="152" t="s">
        <v>2430</v>
      </c>
      <c r="Z474" s="145" t="s">
        <v>2964</v>
      </c>
      <c r="AA474" s="45" t="s">
        <v>74</v>
      </c>
      <c r="AB474" s="45" t="s">
        <v>67</v>
      </c>
      <c r="AC474" s="45" t="s">
        <v>86</v>
      </c>
      <c r="AD474" s="51" t="s">
        <v>76</v>
      </c>
      <c r="AE474" s="154"/>
      <c r="AF474" s="149" t="s">
        <v>67</v>
      </c>
      <c r="AG474" s="149"/>
      <c r="AH474" s="45">
        <v>0.0</v>
      </c>
      <c r="AI474" s="45"/>
      <c r="AJ474" s="45"/>
      <c r="AK474" s="45"/>
      <c r="AL474" s="45"/>
      <c r="AM474" s="45"/>
      <c r="AN474" s="45">
        <v>0.0</v>
      </c>
      <c r="AO474" s="155"/>
      <c r="AP474" s="154"/>
      <c r="AQ474" s="154"/>
      <c r="AR474" s="154"/>
      <c r="AS474" s="154"/>
      <c r="AT474" s="154"/>
    </row>
    <row r="475">
      <c r="A475" s="141" t="s">
        <v>2994</v>
      </c>
      <c r="B475" s="142" t="s">
        <v>2944</v>
      </c>
      <c r="C475" s="142" t="s">
        <v>2944</v>
      </c>
      <c r="D475" s="142" t="s">
        <v>2995</v>
      </c>
      <c r="E475" s="143" t="s">
        <v>2999</v>
      </c>
      <c r="F475" s="209" t="s">
        <v>3000</v>
      </c>
      <c r="G475" s="145">
        <v>9.68757875E8</v>
      </c>
      <c r="H475" s="145"/>
      <c r="I475" s="145"/>
      <c r="J475" s="145" t="s">
        <v>65</v>
      </c>
      <c r="K475" s="147" t="s">
        <v>3001</v>
      </c>
      <c r="L475" s="42" t="s">
        <v>67</v>
      </c>
      <c r="M475" s="147" t="s">
        <v>2951</v>
      </c>
      <c r="N475" s="148" t="s">
        <v>2952</v>
      </c>
      <c r="O475" s="204">
        <v>0.0</v>
      </c>
      <c r="P475" s="149" t="s">
        <v>67</v>
      </c>
      <c r="Q475" s="149" t="s">
        <v>67</v>
      </c>
      <c r="R475" s="150">
        <v>1.0</v>
      </c>
      <c r="S475" s="149" t="s">
        <v>67</v>
      </c>
      <c r="T475" s="205"/>
      <c r="U475" s="149" t="s">
        <v>67</v>
      </c>
      <c r="V475" s="149" t="s">
        <v>970</v>
      </c>
      <c r="W475" s="208">
        <v>46131.0</v>
      </c>
      <c r="X475" s="116" t="s">
        <v>2963</v>
      </c>
      <c r="Y475" s="152" t="s">
        <v>378</v>
      </c>
      <c r="Z475" s="145" t="s">
        <v>2964</v>
      </c>
      <c r="AA475" s="45" t="s">
        <v>74</v>
      </c>
      <c r="AB475" s="45" t="s">
        <v>67</v>
      </c>
      <c r="AC475" s="45" t="s">
        <v>86</v>
      </c>
      <c r="AD475" s="51" t="s">
        <v>76</v>
      </c>
      <c r="AE475" s="154"/>
      <c r="AF475" s="149" t="s">
        <v>67</v>
      </c>
      <c r="AG475" s="149"/>
      <c r="AH475" s="45">
        <v>0.0</v>
      </c>
      <c r="AI475" s="45"/>
      <c r="AJ475" s="45"/>
      <c r="AK475" s="45"/>
      <c r="AL475" s="45"/>
      <c r="AM475" s="45"/>
      <c r="AN475" s="45">
        <v>0.0</v>
      </c>
      <c r="AO475" s="155"/>
      <c r="AP475" s="154"/>
      <c r="AQ475" s="154"/>
      <c r="AR475" s="154"/>
      <c r="AS475" s="154"/>
      <c r="AT475" s="154"/>
    </row>
    <row r="476">
      <c r="A476" s="141" t="s">
        <v>3002</v>
      </c>
      <c r="B476" s="142" t="s">
        <v>2944</v>
      </c>
      <c r="C476" s="142" t="s">
        <v>2944</v>
      </c>
      <c r="D476" s="142" t="s">
        <v>3003</v>
      </c>
      <c r="E476" s="143" t="s">
        <v>3004</v>
      </c>
      <c r="F476" s="144" t="s">
        <v>3005</v>
      </c>
      <c r="G476" s="142">
        <v>9.0198329E8</v>
      </c>
      <c r="H476" s="145"/>
      <c r="I476" s="145">
        <v>763.0</v>
      </c>
      <c r="J476" s="145" t="s">
        <v>65</v>
      </c>
      <c r="K476" s="146" t="s">
        <v>3006</v>
      </c>
      <c r="L476" s="42" t="s">
        <v>67</v>
      </c>
      <c r="M476" s="147" t="s">
        <v>2951</v>
      </c>
      <c r="N476" s="148" t="s">
        <v>2952</v>
      </c>
      <c r="O476" s="204">
        <v>0.0</v>
      </c>
      <c r="P476" s="149" t="s">
        <v>67</v>
      </c>
      <c r="Q476" s="149" t="s">
        <v>67</v>
      </c>
      <c r="R476" s="150">
        <v>1.0</v>
      </c>
      <c r="S476" s="149" t="s">
        <v>67</v>
      </c>
      <c r="T476" s="205"/>
      <c r="U476" s="149" t="s">
        <v>67</v>
      </c>
      <c r="V476" s="149" t="s">
        <v>970</v>
      </c>
      <c r="W476" s="206">
        <v>46133.0</v>
      </c>
      <c r="X476" s="152" t="s">
        <v>2963</v>
      </c>
      <c r="Y476" s="152" t="s">
        <v>2430</v>
      </c>
      <c r="Z476" s="145" t="s">
        <v>2964</v>
      </c>
      <c r="AA476" s="45" t="s">
        <v>74</v>
      </c>
      <c r="AB476" s="45" t="s">
        <v>67</v>
      </c>
      <c r="AC476" s="45" t="s">
        <v>135</v>
      </c>
      <c r="AD476" s="51" t="s">
        <v>76</v>
      </c>
      <c r="AE476" s="154"/>
      <c r="AF476" s="149" t="s">
        <v>67</v>
      </c>
      <c r="AG476" s="149"/>
      <c r="AH476" s="45">
        <v>0.0</v>
      </c>
      <c r="AI476" s="45"/>
      <c r="AJ476" s="45"/>
      <c r="AK476" s="45"/>
      <c r="AL476" s="45"/>
      <c r="AM476" s="45"/>
      <c r="AN476" s="45">
        <v>0.0</v>
      </c>
      <c r="AO476" s="155"/>
      <c r="AP476" s="154"/>
      <c r="AQ476" s="154"/>
      <c r="AR476" s="154"/>
      <c r="AS476" s="154"/>
      <c r="AT476" s="154"/>
    </row>
    <row r="477">
      <c r="A477" s="141" t="s">
        <v>3007</v>
      </c>
      <c r="B477" s="142" t="s">
        <v>2944</v>
      </c>
      <c r="C477" s="142" t="s">
        <v>2958</v>
      </c>
      <c r="D477" s="142" t="s">
        <v>3008</v>
      </c>
      <c r="E477" s="143" t="s">
        <v>3009</v>
      </c>
      <c r="F477" s="144" t="s">
        <v>3010</v>
      </c>
      <c r="G477" s="142">
        <v>9.87284564E8</v>
      </c>
      <c r="H477" s="145"/>
      <c r="I477" s="145">
        <v>756.0</v>
      </c>
      <c r="J477" s="145" t="s">
        <v>65</v>
      </c>
      <c r="K477" s="147" t="s">
        <v>3011</v>
      </c>
      <c r="L477" s="42" t="s">
        <v>67</v>
      </c>
      <c r="M477" s="147" t="s">
        <v>2951</v>
      </c>
      <c r="N477" s="148" t="s">
        <v>2952</v>
      </c>
      <c r="O477" s="204">
        <v>0.0</v>
      </c>
      <c r="P477" s="149"/>
      <c r="Q477" s="149" t="s">
        <v>67</v>
      </c>
      <c r="R477" s="150">
        <v>1.0</v>
      </c>
      <c r="S477" s="149" t="s">
        <v>67</v>
      </c>
      <c r="T477" s="205"/>
      <c r="U477" s="149" t="s">
        <v>67</v>
      </c>
      <c r="V477" s="149" t="s">
        <v>970</v>
      </c>
      <c r="W477" s="206">
        <v>46133.0</v>
      </c>
      <c r="X477" s="152" t="s">
        <v>2963</v>
      </c>
      <c r="Y477" s="152" t="s">
        <v>378</v>
      </c>
      <c r="Z477" s="145" t="s">
        <v>2964</v>
      </c>
      <c r="AA477" s="45" t="s">
        <v>74</v>
      </c>
      <c r="AB477" s="45" t="s">
        <v>67</v>
      </c>
      <c r="AC477" s="45" t="s">
        <v>96</v>
      </c>
      <c r="AD477" s="51" t="s">
        <v>76</v>
      </c>
      <c r="AE477" s="154"/>
      <c r="AF477" s="149"/>
      <c r="AG477" s="149"/>
      <c r="AH477" s="45">
        <v>0.0</v>
      </c>
      <c r="AI477" s="45"/>
      <c r="AJ477" s="45"/>
      <c r="AK477" s="45"/>
      <c r="AL477" s="45"/>
      <c r="AM477" s="45"/>
      <c r="AN477" s="45">
        <v>0.0</v>
      </c>
      <c r="AO477" s="155"/>
      <c r="AP477" s="154"/>
      <c r="AQ477" s="154"/>
      <c r="AR477" s="154"/>
      <c r="AS477" s="154"/>
      <c r="AT477" s="154"/>
    </row>
    <row r="478">
      <c r="A478" s="141" t="s">
        <v>3012</v>
      </c>
      <c r="B478" s="142" t="s">
        <v>2944</v>
      </c>
      <c r="C478" s="142" t="s">
        <v>2967</v>
      </c>
      <c r="D478" s="142" t="s">
        <v>3013</v>
      </c>
      <c r="E478" s="143" t="s">
        <v>3014</v>
      </c>
      <c r="F478" s="144" t="s">
        <v>3015</v>
      </c>
      <c r="G478" s="142">
        <v>9.18512158E8</v>
      </c>
      <c r="H478" s="145"/>
      <c r="I478" s="145">
        <v>758.0</v>
      </c>
      <c r="J478" s="145" t="s">
        <v>65</v>
      </c>
      <c r="K478" s="146" t="s">
        <v>3016</v>
      </c>
      <c r="L478" s="42" t="s">
        <v>74</v>
      </c>
      <c r="M478" s="147" t="s">
        <v>2951</v>
      </c>
      <c r="N478" s="148" t="s">
        <v>2952</v>
      </c>
      <c r="O478" s="204">
        <v>0.0</v>
      </c>
      <c r="P478" s="149" t="s">
        <v>67</v>
      </c>
      <c r="Q478" s="149" t="s">
        <v>67</v>
      </c>
      <c r="R478" s="150">
        <v>1.0</v>
      </c>
      <c r="S478" s="149" t="s">
        <v>67</v>
      </c>
      <c r="T478" s="205"/>
      <c r="U478" s="149" t="s">
        <v>67</v>
      </c>
      <c r="V478" s="149" t="s">
        <v>970</v>
      </c>
      <c r="W478" s="206">
        <v>46133.0</v>
      </c>
      <c r="X478" s="152" t="s">
        <v>2963</v>
      </c>
      <c r="Y478" s="152" t="s">
        <v>3017</v>
      </c>
      <c r="Z478" s="145" t="s">
        <v>2964</v>
      </c>
      <c r="AA478" s="45" t="s">
        <v>74</v>
      </c>
      <c r="AB478" s="45" t="s">
        <v>67</v>
      </c>
      <c r="AC478" s="45" t="s">
        <v>135</v>
      </c>
      <c r="AD478" s="51" t="s">
        <v>76</v>
      </c>
      <c r="AE478" s="154"/>
      <c r="AF478" s="149" t="s">
        <v>67</v>
      </c>
      <c r="AG478" s="149"/>
      <c r="AH478" s="45">
        <v>0.0</v>
      </c>
      <c r="AI478" s="45"/>
      <c r="AJ478" s="45"/>
      <c r="AK478" s="45"/>
      <c r="AL478" s="45"/>
      <c r="AM478" s="45"/>
      <c r="AN478" s="45">
        <v>0.0</v>
      </c>
      <c r="AO478" s="155"/>
      <c r="AP478" s="154"/>
      <c r="AQ478" s="154"/>
      <c r="AR478" s="154"/>
      <c r="AS478" s="154"/>
      <c r="AT478" s="154"/>
    </row>
    <row r="479">
      <c r="A479" s="141" t="s">
        <v>3018</v>
      </c>
      <c r="B479" s="142" t="s">
        <v>2944</v>
      </c>
      <c r="C479" s="142" t="s">
        <v>2944</v>
      </c>
      <c r="D479" s="142" t="s">
        <v>3019</v>
      </c>
      <c r="E479" s="143" t="s">
        <v>3020</v>
      </c>
      <c r="F479" s="144" t="s">
        <v>3021</v>
      </c>
      <c r="G479" s="142">
        <v>9.81828617E8</v>
      </c>
      <c r="H479" s="145"/>
      <c r="I479" s="145">
        <v>765.0</v>
      </c>
      <c r="J479" s="145" t="s">
        <v>65</v>
      </c>
      <c r="K479" s="147" t="s">
        <v>3022</v>
      </c>
      <c r="L479" s="42" t="s">
        <v>67</v>
      </c>
      <c r="M479" s="147" t="s">
        <v>2951</v>
      </c>
      <c r="N479" s="148" t="s">
        <v>2952</v>
      </c>
      <c r="O479" s="204">
        <v>0.0</v>
      </c>
      <c r="P479" s="149"/>
      <c r="Q479" s="149" t="s">
        <v>67</v>
      </c>
      <c r="R479" s="150">
        <v>1.0</v>
      </c>
      <c r="S479" s="149" t="s">
        <v>67</v>
      </c>
      <c r="T479" s="205"/>
      <c r="U479" s="149" t="s">
        <v>67</v>
      </c>
      <c r="V479" s="149" t="s">
        <v>970</v>
      </c>
      <c r="W479" s="206">
        <v>46133.0</v>
      </c>
      <c r="X479" s="152" t="s">
        <v>2963</v>
      </c>
      <c r="Y479" s="152" t="s">
        <v>1416</v>
      </c>
      <c r="Z479" s="145" t="s">
        <v>2964</v>
      </c>
      <c r="AA479" s="45" t="s">
        <v>74</v>
      </c>
      <c r="AB479" s="45" t="s">
        <v>67</v>
      </c>
      <c r="AC479" s="45" t="s">
        <v>135</v>
      </c>
      <c r="AD479" s="51" t="s">
        <v>76</v>
      </c>
      <c r="AE479" s="154"/>
      <c r="AF479" s="149" t="s">
        <v>67</v>
      </c>
      <c r="AG479" s="149" t="s">
        <v>67</v>
      </c>
      <c r="AH479" s="45">
        <v>0.0</v>
      </c>
      <c r="AI479" s="45"/>
      <c r="AJ479" s="45"/>
      <c r="AK479" s="45"/>
      <c r="AL479" s="45"/>
      <c r="AM479" s="45"/>
      <c r="AN479" s="45">
        <v>0.0</v>
      </c>
      <c r="AO479" s="155"/>
      <c r="AP479" s="154"/>
      <c r="AQ479" s="154"/>
      <c r="AR479" s="154"/>
      <c r="AS479" s="154"/>
      <c r="AT479" s="154"/>
    </row>
    <row r="480">
      <c r="A480" s="141" t="s">
        <v>3023</v>
      </c>
      <c r="B480" s="142" t="s">
        <v>2944</v>
      </c>
      <c r="C480" s="142" t="s">
        <v>3024</v>
      </c>
      <c r="D480" s="142" t="s">
        <v>3025</v>
      </c>
      <c r="E480" s="143" t="s">
        <v>3026</v>
      </c>
      <c r="F480" s="144" t="s">
        <v>3027</v>
      </c>
      <c r="G480" s="142">
        <v>9.55295569E8</v>
      </c>
      <c r="H480" s="145"/>
      <c r="I480" s="145">
        <v>1165.0</v>
      </c>
      <c r="J480" s="145" t="s">
        <v>65</v>
      </c>
      <c r="K480" s="147" t="s">
        <v>3028</v>
      </c>
      <c r="L480" s="42" t="s">
        <v>67</v>
      </c>
      <c r="M480" s="147" t="s">
        <v>2951</v>
      </c>
      <c r="N480" s="148" t="s">
        <v>2952</v>
      </c>
      <c r="O480" s="204">
        <v>0.0</v>
      </c>
      <c r="P480" s="149"/>
      <c r="Q480" s="149" t="s">
        <v>67</v>
      </c>
      <c r="R480" s="150">
        <v>1.0</v>
      </c>
      <c r="S480" s="149" t="s">
        <v>67</v>
      </c>
      <c r="T480" s="205"/>
      <c r="U480" s="149" t="s">
        <v>67</v>
      </c>
      <c r="V480" s="149" t="s">
        <v>970</v>
      </c>
      <c r="W480" s="206">
        <v>46133.0</v>
      </c>
      <c r="X480" s="152" t="s">
        <v>2963</v>
      </c>
      <c r="Y480" s="152" t="s">
        <v>1381</v>
      </c>
      <c r="Z480" s="145" t="s">
        <v>2964</v>
      </c>
      <c r="AA480" s="45" t="s">
        <v>74</v>
      </c>
      <c r="AB480" s="45" t="s">
        <v>67</v>
      </c>
      <c r="AC480" s="45" t="s">
        <v>86</v>
      </c>
      <c r="AD480" s="51" t="s">
        <v>76</v>
      </c>
      <c r="AE480" s="154"/>
      <c r="AF480" s="149" t="s">
        <v>67</v>
      </c>
      <c r="AG480" s="149"/>
      <c r="AH480" s="45">
        <v>0.0</v>
      </c>
      <c r="AI480" s="45"/>
      <c r="AJ480" s="45"/>
      <c r="AK480" s="45"/>
      <c r="AL480" s="45"/>
      <c r="AM480" s="45"/>
      <c r="AN480" s="45">
        <v>0.0</v>
      </c>
      <c r="AO480" s="155"/>
      <c r="AP480" s="154"/>
      <c r="AQ480" s="154"/>
      <c r="AR480" s="154"/>
      <c r="AS480" s="154"/>
      <c r="AT480" s="154"/>
    </row>
    <row r="481">
      <c r="A481" s="141" t="s">
        <v>3029</v>
      </c>
      <c r="B481" s="142" t="s">
        <v>2944</v>
      </c>
      <c r="C481" s="142" t="s">
        <v>2967</v>
      </c>
      <c r="D481" s="142" t="s">
        <v>3030</v>
      </c>
      <c r="E481" s="143" t="s">
        <v>3031</v>
      </c>
      <c r="F481" s="144" t="s">
        <v>3032</v>
      </c>
      <c r="G481" s="142">
        <v>9.45225793E8</v>
      </c>
      <c r="H481" s="145"/>
      <c r="I481" s="145">
        <v>759.0</v>
      </c>
      <c r="J481" s="145" t="s">
        <v>65</v>
      </c>
      <c r="K481" s="146" t="s">
        <v>3033</v>
      </c>
      <c r="L481" s="42" t="s">
        <v>67</v>
      </c>
      <c r="M481" s="147" t="s">
        <v>2951</v>
      </c>
      <c r="N481" s="148" t="s">
        <v>2952</v>
      </c>
      <c r="O481" s="204">
        <v>0.0</v>
      </c>
      <c r="P481" s="149"/>
      <c r="Q481" s="149" t="s">
        <v>67</v>
      </c>
      <c r="R481" s="150">
        <v>1.0</v>
      </c>
      <c r="S481" s="149" t="s">
        <v>67</v>
      </c>
      <c r="T481" s="205"/>
      <c r="U481" s="149" t="s">
        <v>67</v>
      </c>
      <c r="V481" s="149" t="s">
        <v>970</v>
      </c>
      <c r="W481" s="206">
        <v>46133.0</v>
      </c>
      <c r="X481" s="152" t="s">
        <v>2963</v>
      </c>
      <c r="Y481" s="152" t="s">
        <v>1346</v>
      </c>
      <c r="Z481" s="145" t="s">
        <v>2964</v>
      </c>
      <c r="AA481" s="45" t="s">
        <v>74</v>
      </c>
      <c r="AB481" s="45" t="s">
        <v>67</v>
      </c>
      <c r="AC481" s="45" t="s">
        <v>195</v>
      </c>
      <c r="AD481" s="51" t="s">
        <v>76</v>
      </c>
      <c r="AE481" s="154"/>
      <c r="AF481" s="149" t="s">
        <v>67</v>
      </c>
      <c r="AG481" s="149"/>
      <c r="AH481" s="45">
        <v>0.0</v>
      </c>
      <c r="AI481" s="45"/>
      <c r="AJ481" s="45"/>
      <c r="AK481" s="45"/>
      <c r="AL481" s="45"/>
      <c r="AM481" s="45"/>
      <c r="AN481" s="45">
        <v>0.0</v>
      </c>
      <c r="AO481" s="155"/>
      <c r="AP481" s="154"/>
      <c r="AQ481" s="154"/>
      <c r="AR481" s="154"/>
      <c r="AS481" s="154"/>
      <c r="AT481" s="154"/>
    </row>
    <row r="482">
      <c r="A482" s="141" t="s">
        <v>3034</v>
      </c>
      <c r="B482" s="142" t="s">
        <v>3035</v>
      </c>
      <c r="C482" s="142" t="s">
        <v>3036</v>
      </c>
      <c r="D482" s="142" t="s">
        <v>3037</v>
      </c>
      <c r="E482" s="143" t="s">
        <v>3038</v>
      </c>
      <c r="F482" s="144" t="s">
        <v>3039</v>
      </c>
      <c r="G482" s="142">
        <v>9.31356677E8</v>
      </c>
      <c r="H482" s="145">
        <v>2906.0</v>
      </c>
      <c r="I482" s="145">
        <v>1111.0</v>
      </c>
      <c r="J482" s="145" t="s">
        <v>65</v>
      </c>
      <c r="K482" s="147" t="s">
        <v>3040</v>
      </c>
      <c r="L482" s="42" t="s">
        <v>67</v>
      </c>
      <c r="M482" s="147" t="s">
        <v>3041</v>
      </c>
      <c r="N482" s="148" t="s">
        <v>3042</v>
      </c>
      <c r="O482" s="204" t="s">
        <v>3043</v>
      </c>
      <c r="P482" s="149" t="s">
        <v>67</v>
      </c>
      <c r="Q482" s="149" t="s">
        <v>67</v>
      </c>
      <c r="R482" s="150">
        <v>1.0</v>
      </c>
      <c r="S482" s="149" t="s">
        <v>67</v>
      </c>
      <c r="T482" s="205"/>
      <c r="U482" s="149" t="s">
        <v>67</v>
      </c>
      <c r="V482" s="149" t="s">
        <v>970</v>
      </c>
      <c r="W482" s="208">
        <v>46133.0</v>
      </c>
      <c r="X482" s="116" t="s">
        <v>2963</v>
      </c>
      <c r="Y482" s="152" t="s">
        <v>2430</v>
      </c>
      <c r="Z482" s="145" t="s">
        <v>2964</v>
      </c>
      <c r="AA482" s="45" t="s">
        <v>74</v>
      </c>
      <c r="AB482" s="45" t="s">
        <v>67</v>
      </c>
      <c r="AC482" s="45" t="s">
        <v>475</v>
      </c>
      <c r="AD482" s="51" t="s">
        <v>76</v>
      </c>
      <c r="AE482" s="154"/>
      <c r="AF482" s="149" t="s">
        <v>67</v>
      </c>
      <c r="AG482" s="149"/>
      <c r="AH482" s="45">
        <v>0.0</v>
      </c>
      <c r="AI482" s="45"/>
      <c r="AJ482" s="45"/>
      <c r="AK482" s="45"/>
      <c r="AL482" s="45"/>
      <c r="AM482" s="45"/>
      <c r="AN482" s="45">
        <v>0.0</v>
      </c>
      <c r="AO482" s="155"/>
      <c r="AP482" s="154"/>
      <c r="AQ482" s="154"/>
      <c r="AR482" s="154"/>
      <c r="AS482" s="154"/>
      <c r="AT482" s="154"/>
    </row>
    <row r="483">
      <c r="A483" s="141" t="s">
        <v>3034</v>
      </c>
      <c r="B483" s="142" t="s">
        <v>3035</v>
      </c>
      <c r="C483" s="142" t="s">
        <v>3036</v>
      </c>
      <c r="D483" s="142" t="s">
        <v>3037</v>
      </c>
      <c r="E483" s="143" t="s">
        <v>3044</v>
      </c>
      <c r="F483" s="144" t="s">
        <v>3045</v>
      </c>
      <c r="G483" s="142">
        <v>9.42029022E8</v>
      </c>
      <c r="H483" s="145">
        <v>2905.0</v>
      </c>
      <c r="I483" s="145">
        <v>1110.0</v>
      </c>
      <c r="J483" s="145" t="s">
        <v>65</v>
      </c>
      <c r="K483" s="147" t="s">
        <v>3046</v>
      </c>
      <c r="L483" s="42" t="s">
        <v>67</v>
      </c>
      <c r="M483" s="147" t="s">
        <v>3041</v>
      </c>
      <c r="N483" s="148" t="s">
        <v>3042</v>
      </c>
      <c r="O483" s="204" t="s">
        <v>3043</v>
      </c>
      <c r="P483" s="149" t="s">
        <v>67</v>
      </c>
      <c r="Q483" s="149" t="s">
        <v>67</v>
      </c>
      <c r="R483" s="150">
        <v>1.0</v>
      </c>
      <c r="S483" s="149" t="s">
        <v>67</v>
      </c>
      <c r="T483" s="205"/>
      <c r="U483" s="149" t="s">
        <v>67</v>
      </c>
      <c r="V483" s="149" t="s">
        <v>970</v>
      </c>
      <c r="W483" s="208">
        <v>46133.0</v>
      </c>
      <c r="X483" s="116" t="s">
        <v>2963</v>
      </c>
      <c r="Y483" s="152" t="s">
        <v>1381</v>
      </c>
      <c r="Z483" s="145" t="s">
        <v>2964</v>
      </c>
      <c r="AA483" s="45" t="s">
        <v>74</v>
      </c>
      <c r="AB483" s="45" t="s">
        <v>67</v>
      </c>
      <c r="AC483" s="45" t="s">
        <v>475</v>
      </c>
      <c r="AD483" s="51" t="s">
        <v>76</v>
      </c>
      <c r="AE483" s="154"/>
      <c r="AF483" s="149" t="s">
        <v>67</v>
      </c>
      <c r="AG483" s="149"/>
      <c r="AH483" s="45">
        <v>0.0</v>
      </c>
      <c r="AI483" s="45"/>
      <c r="AJ483" s="45"/>
      <c r="AK483" s="45"/>
      <c r="AL483" s="45"/>
      <c r="AM483" s="45"/>
      <c r="AN483" s="45">
        <v>0.0</v>
      </c>
      <c r="AO483" s="155"/>
      <c r="AP483" s="154"/>
      <c r="AQ483" s="154"/>
      <c r="AR483" s="154"/>
      <c r="AS483" s="154"/>
      <c r="AT483" s="154"/>
    </row>
    <row r="484">
      <c r="A484" s="141" t="s">
        <v>3047</v>
      </c>
      <c r="B484" s="142" t="s">
        <v>3035</v>
      </c>
      <c r="C484" s="142" t="s">
        <v>3036</v>
      </c>
      <c r="D484" s="78" t="s">
        <v>3048</v>
      </c>
      <c r="E484" s="143" t="s">
        <v>3049</v>
      </c>
      <c r="F484" s="144" t="s">
        <v>3050</v>
      </c>
      <c r="G484" s="142">
        <v>9.36855984E8</v>
      </c>
      <c r="H484" s="145">
        <v>2903.0</v>
      </c>
      <c r="I484" s="145">
        <v>1108.0</v>
      </c>
      <c r="J484" s="145" t="s">
        <v>65</v>
      </c>
      <c r="K484" s="146" t="s">
        <v>3051</v>
      </c>
      <c r="L484" s="42" t="s">
        <v>67</v>
      </c>
      <c r="M484" s="147" t="s">
        <v>3041</v>
      </c>
      <c r="N484" s="148" t="s">
        <v>3042</v>
      </c>
      <c r="O484" s="204" t="s">
        <v>3043</v>
      </c>
      <c r="P484" s="149" t="s">
        <v>67</v>
      </c>
      <c r="Q484" s="149" t="s">
        <v>67</v>
      </c>
      <c r="R484" s="150">
        <v>1.0</v>
      </c>
      <c r="S484" s="149" t="s">
        <v>67</v>
      </c>
      <c r="T484" s="205"/>
      <c r="U484" s="149" t="s">
        <v>67</v>
      </c>
      <c r="V484" s="149" t="s">
        <v>3052</v>
      </c>
      <c r="W484" s="208">
        <v>46133.0</v>
      </c>
      <c r="X484" s="116" t="s">
        <v>2963</v>
      </c>
      <c r="Y484" s="152" t="s">
        <v>378</v>
      </c>
      <c r="Z484" s="145" t="s">
        <v>2964</v>
      </c>
      <c r="AA484" s="45" t="s">
        <v>67</v>
      </c>
      <c r="AB484" s="45" t="s">
        <v>67</v>
      </c>
      <c r="AC484" s="45" t="s">
        <v>86</v>
      </c>
      <c r="AD484" s="51" t="s">
        <v>76</v>
      </c>
      <c r="AE484" s="154"/>
      <c r="AF484" s="149" t="s">
        <v>67</v>
      </c>
      <c r="AG484" s="149"/>
      <c r="AH484" s="45">
        <v>0.0</v>
      </c>
      <c r="AI484" s="45"/>
      <c r="AJ484" s="45"/>
      <c r="AK484" s="45"/>
      <c r="AL484" s="45"/>
      <c r="AM484" s="45"/>
      <c r="AN484" s="45">
        <v>0.0</v>
      </c>
      <c r="AO484" s="155"/>
      <c r="AP484" s="154"/>
      <c r="AQ484" s="154"/>
      <c r="AR484" s="154"/>
      <c r="AS484" s="154"/>
      <c r="AT484" s="154"/>
    </row>
    <row r="485">
      <c r="A485" s="141" t="s">
        <v>3047</v>
      </c>
      <c r="B485" s="142" t="s">
        <v>3035</v>
      </c>
      <c r="C485" s="142" t="s">
        <v>3036</v>
      </c>
      <c r="D485" s="36" t="s">
        <v>3048</v>
      </c>
      <c r="E485" s="143" t="s">
        <v>3053</v>
      </c>
      <c r="F485" s="144" t="s">
        <v>3054</v>
      </c>
      <c r="G485" s="142">
        <v>9.20495691E8</v>
      </c>
      <c r="H485" s="145">
        <v>3016.0</v>
      </c>
      <c r="I485" s="145">
        <v>1109.0</v>
      </c>
      <c r="J485" s="145" t="s">
        <v>65</v>
      </c>
      <c r="K485" s="147" t="s">
        <v>3055</v>
      </c>
      <c r="L485" s="42" t="s">
        <v>67</v>
      </c>
      <c r="M485" s="147" t="s">
        <v>3041</v>
      </c>
      <c r="N485" s="148" t="s">
        <v>3042</v>
      </c>
      <c r="O485" s="204" t="s">
        <v>3043</v>
      </c>
      <c r="P485" s="149" t="s">
        <v>67</v>
      </c>
      <c r="Q485" s="149" t="s">
        <v>67</v>
      </c>
      <c r="R485" s="150">
        <v>1.0</v>
      </c>
      <c r="S485" s="149" t="s">
        <v>67</v>
      </c>
      <c r="T485" s="205"/>
      <c r="U485" s="149" t="s">
        <v>67</v>
      </c>
      <c r="V485" s="149" t="s">
        <v>970</v>
      </c>
      <c r="W485" s="208">
        <v>46133.0</v>
      </c>
      <c r="X485" s="116" t="s">
        <v>2963</v>
      </c>
      <c r="Y485" s="152" t="s">
        <v>378</v>
      </c>
      <c r="Z485" s="145" t="s">
        <v>2964</v>
      </c>
      <c r="AA485" s="45" t="s">
        <v>67</v>
      </c>
      <c r="AB485" s="45" t="s">
        <v>67</v>
      </c>
      <c r="AC485" s="45" t="s">
        <v>86</v>
      </c>
      <c r="AD485" s="51" t="s">
        <v>76</v>
      </c>
      <c r="AE485" s="154"/>
      <c r="AF485" s="149" t="s">
        <v>67</v>
      </c>
      <c r="AG485" s="149"/>
      <c r="AH485" s="45">
        <v>0.0</v>
      </c>
      <c r="AI485" s="45"/>
      <c r="AJ485" s="45"/>
      <c r="AK485" s="45"/>
      <c r="AL485" s="45"/>
      <c r="AM485" s="45"/>
      <c r="AN485" s="45">
        <v>0.0</v>
      </c>
      <c r="AO485" s="155"/>
      <c r="AP485" s="154"/>
      <c r="AQ485" s="154"/>
      <c r="AR485" s="154"/>
      <c r="AS485" s="154"/>
      <c r="AT485" s="154"/>
    </row>
    <row r="486">
      <c r="A486" s="141" t="s">
        <v>3056</v>
      </c>
      <c r="B486" s="142" t="s">
        <v>3035</v>
      </c>
      <c r="C486" s="142" t="s">
        <v>3057</v>
      </c>
      <c r="D486" s="207" t="s">
        <v>3058</v>
      </c>
      <c r="E486" s="143" t="s">
        <v>3059</v>
      </c>
      <c r="F486" s="144" t="s">
        <v>3060</v>
      </c>
      <c r="G486" s="142">
        <v>9.65250166E8</v>
      </c>
      <c r="H486" s="145">
        <v>2902.0</v>
      </c>
      <c r="I486" s="145">
        <v>1106.0</v>
      </c>
      <c r="J486" s="145" t="s">
        <v>65</v>
      </c>
      <c r="K486" s="146" t="s">
        <v>3061</v>
      </c>
      <c r="L486" s="42" t="s">
        <v>67</v>
      </c>
      <c r="M486" s="147" t="s">
        <v>3041</v>
      </c>
      <c r="N486" s="148" t="s">
        <v>3042</v>
      </c>
      <c r="O486" s="204" t="s">
        <v>3043</v>
      </c>
      <c r="P486" s="149" t="s">
        <v>67</v>
      </c>
      <c r="Q486" s="149" t="s">
        <v>67</v>
      </c>
      <c r="R486" s="150">
        <v>1.0</v>
      </c>
      <c r="S486" s="149" t="s">
        <v>67</v>
      </c>
      <c r="T486" s="205"/>
      <c r="U486" s="149" t="s">
        <v>67</v>
      </c>
      <c r="V486" s="149" t="s">
        <v>970</v>
      </c>
      <c r="W486" s="206">
        <v>46133.0</v>
      </c>
      <c r="X486" s="152" t="s">
        <v>2963</v>
      </c>
      <c r="Y486" s="152" t="s">
        <v>893</v>
      </c>
      <c r="Z486" s="145" t="s">
        <v>2964</v>
      </c>
      <c r="AA486" s="45" t="s">
        <v>74</v>
      </c>
      <c r="AB486" s="45" t="s">
        <v>67</v>
      </c>
      <c r="AC486" s="45" t="s">
        <v>306</v>
      </c>
      <c r="AD486" s="51" t="s">
        <v>76</v>
      </c>
      <c r="AE486" s="154"/>
      <c r="AF486" s="149" t="s">
        <v>67</v>
      </c>
      <c r="AG486" s="149"/>
      <c r="AH486" s="45">
        <v>0.0</v>
      </c>
      <c r="AI486" s="45"/>
      <c r="AJ486" s="45"/>
      <c r="AK486" s="45"/>
      <c r="AL486" s="45"/>
      <c r="AM486" s="45"/>
      <c r="AN486" s="45">
        <v>0.0</v>
      </c>
      <c r="AO486" s="155"/>
      <c r="AP486" s="154"/>
      <c r="AQ486" s="154"/>
      <c r="AR486" s="154"/>
      <c r="AS486" s="154"/>
      <c r="AT486" s="154"/>
    </row>
    <row r="487">
      <c r="A487" s="141" t="s">
        <v>3062</v>
      </c>
      <c r="B487" s="142" t="s">
        <v>3035</v>
      </c>
      <c r="C487" s="142" t="s">
        <v>3035</v>
      </c>
      <c r="D487" s="142" t="s">
        <v>2831</v>
      </c>
      <c r="E487" s="143" t="s">
        <v>3063</v>
      </c>
      <c r="F487" s="144" t="s">
        <v>3064</v>
      </c>
      <c r="G487" s="142">
        <v>9.97443453E8</v>
      </c>
      <c r="H487" s="145">
        <v>2901.0</v>
      </c>
      <c r="I487" s="145">
        <v>1105.0</v>
      </c>
      <c r="J487" s="145" t="s">
        <v>65</v>
      </c>
      <c r="K487" s="147" t="s">
        <v>3065</v>
      </c>
      <c r="L487" s="42" t="s">
        <v>67</v>
      </c>
      <c r="M487" s="147" t="s">
        <v>3041</v>
      </c>
      <c r="N487" s="148" t="s">
        <v>3042</v>
      </c>
      <c r="O487" s="204" t="s">
        <v>3043</v>
      </c>
      <c r="P487" s="149" t="s">
        <v>67</v>
      </c>
      <c r="Q487" s="149" t="s">
        <v>67</v>
      </c>
      <c r="R487" s="150">
        <v>1.0</v>
      </c>
      <c r="S487" s="149" t="s">
        <v>67</v>
      </c>
      <c r="T487" s="205"/>
      <c r="U487" s="149" t="s">
        <v>67</v>
      </c>
      <c r="V487" s="149" t="s">
        <v>970</v>
      </c>
      <c r="W487" s="206">
        <v>46133.0</v>
      </c>
      <c r="X487" s="152" t="s">
        <v>2963</v>
      </c>
      <c r="Y487" s="152" t="s">
        <v>378</v>
      </c>
      <c r="Z487" s="145" t="s">
        <v>2964</v>
      </c>
      <c r="AA487" s="45" t="s">
        <v>74</v>
      </c>
      <c r="AB487" s="45" t="s">
        <v>67</v>
      </c>
      <c r="AC487" s="45" t="s">
        <v>306</v>
      </c>
      <c r="AD487" s="51" t="s">
        <v>76</v>
      </c>
      <c r="AE487" s="154"/>
      <c r="AF487" s="149" t="s">
        <v>67</v>
      </c>
      <c r="AG487" s="149"/>
      <c r="AH487" s="45">
        <v>0.0</v>
      </c>
      <c r="AI487" s="45"/>
      <c r="AJ487" s="45"/>
      <c r="AK487" s="45"/>
      <c r="AL487" s="45"/>
      <c r="AM487" s="45"/>
      <c r="AN487" s="45">
        <v>0.0</v>
      </c>
      <c r="AO487" s="155"/>
      <c r="AP487" s="154"/>
      <c r="AQ487" s="154"/>
      <c r="AR487" s="154"/>
      <c r="AS487" s="154"/>
      <c r="AT487" s="154"/>
    </row>
    <row r="488">
      <c r="A488" s="141" t="s">
        <v>3066</v>
      </c>
      <c r="B488" s="142" t="s">
        <v>3035</v>
      </c>
      <c r="C488" s="142" t="s">
        <v>3036</v>
      </c>
      <c r="D488" s="142" t="s">
        <v>3067</v>
      </c>
      <c r="E488" s="143" t="s">
        <v>3068</v>
      </c>
      <c r="F488" s="144" t="s">
        <v>3069</v>
      </c>
      <c r="G488" s="142" t="s">
        <v>3070</v>
      </c>
      <c r="H488" s="145">
        <v>2908.0</v>
      </c>
      <c r="I488" s="145">
        <v>1112.0</v>
      </c>
      <c r="J488" s="145" t="s">
        <v>65</v>
      </c>
      <c r="K488" s="147" t="s">
        <v>3071</v>
      </c>
      <c r="L488" s="42" t="s">
        <v>67</v>
      </c>
      <c r="M488" s="147" t="s">
        <v>3041</v>
      </c>
      <c r="N488" s="148" t="s">
        <v>3042</v>
      </c>
      <c r="O488" s="204" t="s">
        <v>3043</v>
      </c>
      <c r="P488" s="149" t="s">
        <v>67</v>
      </c>
      <c r="Q488" s="149" t="s">
        <v>67</v>
      </c>
      <c r="R488" s="150">
        <v>1.0</v>
      </c>
      <c r="S488" s="149" t="s">
        <v>67</v>
      </c>
      <c r="T488" s="205"/>
      <c r="U488" s="149" t="s">
        <v>67</v>
      </c>
      <c r="V488" s="149" t="s">
        <v>970</v>
      </c>
      <c r="W488" s="206">
        <v>46133.0</v>
      </c>
      <c r="X488" s="152" t="s">
        <v>2963</v>
      </c>
      <c r="Y488" s="152" t="s">
        <v>378</v>
      </c>
      <c r="Z488" s="145" t="s">
        <v>2964</v>
      </c>
      <c r="AA488" s="45" t="s">
        <v>74</v>
      </c>
      <c r="AB488" s="45" t="s">
        <v>67</v>
      </c>
      <c r="AC488" s="45" t="s">
        <v>195</v>
      </c>
      <c r="AD488" s="51" t="s">
        <v>76</v>
      </c>
      <c r="AE488" s="154"/>
      <c r="AF488" s="149" t="s">
        <v>67</v>
      </c>
      <c r="AG488" s="149"/>
      <c r="AH488" s="45">
        <v>0.0</v>
      </c>
      <c r="AI488" s="45"/>
      <c r="AJ488" s="45"/>
      <c r="AK488" s="45"/>
      <c r="AL488" s="45"/>
      <c r="AM488" s="45"/>
      <c r="AN488" s="45">
        <v>0.0</v>
      </c>
      <c r="AO488" s="155"/>
      <c r="AP488" s="154"/>
      <c r="AQ488" s="154"/>
      <c r="AR488" s="154"/>
      <c r="AS488" s="154"/>
      <c r="AT488" s="154"/>
    </row>
    <row r="489">
      <c r="A489" s="141" t="s">
        <v>3072</v>
      </c>
      <c r="B489" s="142" t="s">
        <v>3035</v>
      </c>
      <c r="C489" s="142" t="s">
        <v>3036</v>
      </c>
      <c r="D489" s="142" t="s">
        <v>3036</v>
      </c>
      <c r="E489" s="143" t="s">
        <v>3073</v>
      </c>
      <c r="F489" s="144" t="s">
        <v>3074</v>
      </c>
      <c r="G489" s="142">
        <v>9.92895459E8</v>
      </c>
      <c r="H489" s="145">
        <v>2904.0</v>
      </c>
      <c r="I489" s="145">
        <v>1107.0</v>
      </c>
      <c r="J489" s="145" t="s">
        <v>65</v>
      </c>
      <c r="K489" s="146" t="s">
        <v>3075</v>
      </c>
      <c r="L489" s="42" t="s">
        <v>67</v>
      </c>
      <c r="M489" s="147" t="s">
        <v>3041</v>
      </c>
      <c r="N489" s="148" t="s">
        <v>3042</v>
      </c>
      <c r="O489" s="204" t="s">
        <v>3043</v>
      </c>
      <c r="P489" s="149" t="s">
        <v>67</v>
      </c>
      <c r="Q489" s="149" t="s">
        <v>67</v>
      </c>
      <c r="R489" s="150">
        <v>1.0</v>
      </c>
      <c r="S489" s="149" t="s">
        <v>67</v>
      </c>
      <c r="T489" s="205"/>
      <c r="U489" s="149" t="s">
        <v>67</v>
      </c>
      <c r="V489" s="149" t="s">
        <v>970</v>
      </c>
      <c r="W489" s="206">
        <v>46133.0</v>
      </c>
      <c r="X489" s="152" t="s">
        <v>2963</v>
      </c>
      <c r="Y489" s="152" t="s">
        <v>1275</v>
      </c>
      <c r="Z489" s="145" t="s">
        <v>2964</v>
      </c>
      <c r="AA489" s="45" t="s">
        <v>74</v>
      </c>
      <c r="AB489" s="45" t="s">
        <v>67</v>
      </c>
      <c r="AC489" s="45" t="s">
        <v>195</v>
      </c>
      <c r="AD489" s="51" t="s">
        <v>76</v>
      </c>
      <c r="AE489" s="154"/>
      <c r="AF489" s="149" t="s">
        <v>67</v>
      </c>
      <c r="AG489" s="149"/>
      <c r="AH489" s="45">
        <v>0.0</v>
      </c>
      <c r="AI489" s="45"/>
      <c r="AJ489" s="45"/>
      <c r="AK489" s="45"/>
      <c r="AL489" s="45"/>
      <c r="AM489" s="45"/>
      <c r="AN489" s="45">
        <v>0.0</v>
      </c>
      <c r="AO489" s="155"/>
      <c r="AP489" s="154"/>
      <c r="AQ489" s="154"/>
      <c r="AR489" s="154"/>
      <c r="AS489" s="154"/>
      <c r="AT489" s="154"/>
    </row>
    <row r="490">
      <c r="A490" s="141" t="s">
        <v>3076</v>
      </c>
      <c r="B490" s="142" t="s">
        <v>3035</v>
      </c>
      <c r="C490" s="142" t="s">
        <v>3036</v>
      </c>
      <c r="D490" s="142" t="s">
        <v>3077</v>
      </c>
      <c r="E490" s="143" t="s">
        <v>3078</v>
      </c>
      <c r="F490" s="144" t="s">
        <v>3079</v>
      </c>
      <c r="G490" s="142">
        <v>9.7976343E8</v>
      </c>
      <c r="H490" s="145">
        <v>2909.0</v>
      </c>
      <c r="I490" s="145">
        <v>1113.0</v>
      </c>
      <c r="J490" s="145" t="s">
        <v>65</v>
      </c>
      <c r="K490" s="147" t="s">
        <v>3080</v>
      </c>
      <c r="L490" s="42" t="s">
        <v>67</v>
      </c>
      <c r="M490" s="147" t="s">
        <v>3041</v>
      </c>
      <c r="N490" s="148" t="s">
        <v>3042</v>
      </c>
      <c r="O490" s="204" t="s">
        <v>3043</v>
      </c>
      <c r="P490" s="149" t="s">
        <v>67</v>
      </c>
      <c r="Q490" s="149" t="s">
        <v>67</v>
      </c>
      <c r="R490" s="150">
        <v>1.0</v>
      </c>
      <c r="S490" s="149" t="s">
        <v>67</v>
      </c>
      <c r="T490" s="205"/>
      <c r="U490" s="149" t="s">
        <v>67</v>
      </c>
      <c r="V490" s="149" t="s">
        <v>970</v>
      </c>
      <c r="W490" s="206">
        <v>46133.0</v>
      </c>
      <c r="X490" s="152" t="s">
        <v>3081</v>
      </c>
      <c r="Y490" s="152" t="s">
        <v>992</v>
      </c>
      <c r="Z490" s="145" t="s">
        <v>2964</v>
      </c>
      <c r="AA490" s="45" t="s">
        <v>74</v>
      </c>
      <c r="AB490" s="45" t="s">
        <v>67</v>
      </c>
      <c r="AC490" s="45" t="s">
        <v>86</v>
      </c>
      <c r="AD490" s="51" t="s">
        <v>76</v>
      </c>
      <c r="AE490" s="154"/>
      <c r="AF490" s="149" t="s">
        <v>67</v>
      </c>
      <c r="AG490" s="149"/>
      <c r="AH490" s="45">
        <v>0.0</v>
      </c>
      <c r="AI490" s="45"/>
      <c r="AJ490" s="45"/>
      <c r="AK490" s="45"/>
      <c r="AL490" s="45"/>
      <c r="AM490" s="45"/>
      <c r="AN490" s="45">
        <v>0.0</v>
      </c>
      <c r="AO490" s="155"/>
      <c r="AP490" s="154"/>
      <c r="AQ490" s="154"/>
      <c r="AR490" s="154"/>
      <c r="AS490" s="154"/>
      <c r="AT490" s="154"/>
    </row>
    <row r="491">
      <c r="A491" s="141" t="s">
        <v>3082</v>
      </c>
      <c r="B491" s="142" t="s">
        <v>2188</v>
      </c>
      <c r="C491" s="142" t="s">
        <v>3083</v>
      </c>
      <c r="D491" s="207" t="s">
        <v>3084</v>
      </c>
      <c r="E491" s="143" t="s">
        <v>3085</v>
      </c>
      <c r="F491" s="144" t="s">
        <v>3086</v>
      </c>
      <c r="G491" s="142">
        <v>9.10580741E8</v>
      </c>
      <c r="H491" s="145">
        <v>2958.0</v>
      </c>
      <c r="I491" s="145">
        <v>1002.0</v>
      </c>
      <c r="J491" s="145" t="s">
        <v>65</v>
      </c>
      <c r="K491" s="147" t="s">
        <v>3087</v>
      </c>
      <c r="L491" s="42" t="s">
        <v>67</v>
      </c>
      <c r="M491" s="147" t="s">
        <v>1497</v>
      </c>
      <c r="N491" s="148" t="s">
        <v>1498</v>
      </c>
      <c r="O491" s="204">
        <v>0.0</v>
      </c>
      <c r="P491" s="149" t="s">
        <v>67</v>
      </c>
      <c r="Q491" s="149" t="s">
        <v>67</v>
      </c>
      <c r="R491" s="150">
        <v>1.0</v>
      </c>
      <c r="S491" s="149" t="s">
        <v>67</v>
      </c>
      <c r="T491" s="205"/>
      <c r="U491" s="149" t="s">
        <v>67</v>
      </c>
      <c r="V491" s="149" t="s">
        <v>970</v>
      </c>
      <c r="W491" s="210"/>
      <c r="X491" s="116" t="s">
        <v>205</v>
      </c>
      <c r="Y491" s="152"/>
      <c r="Z491" s="145" t="s">
        <v>2964</v>
      </c>
      <c r="AA491" s="45" t="s">
        <v>74</v>
      </c>
      <c r="AB491" s="45" t="s">
        <v>67</v>
      </c>
      <c r="AC491" s="45"/>
      <c r="AD491" s="51" t="s">
        <v>76</v>
      </c>
      <c r="AE491" s="154"/>
      <c r="AF491" s="149"/>
      <c r="AG491" s="149"/>
      <c r="AH491" s="45">
        <v>0.0</v>
      </c>
      <c r="AI491" s="45"/>
      <c r="AJ491" s="45"/>
      <c r="AK491" s="45"/>
      <c r="AL491" s="45"/>
      <c r="AM491" s="45"/>
      <c r="AN491" s="45">
        <v>0.0</v>
      </c>
      <c r="AO491" s="155"/>
      <c r="AP491" s="154"/>
      <c r="AQ491" s="154"/>
      <c r="AR491" s="154"/>
      <c r="AS491" s="154"/>
      <c r="AT491" s="154"/>
    </row>
    <row r="492">
      <c r="A492" s="141" t="s">
        <v>3082</v>
      </c>
      <c r="B492" s="142" t="s">
        <v>2188</v>
      </c>
      <c r="C492" s="142" t="s">
        <v>3083</v>
      </c>
      <c r="D492" s="207" t="s">
        <v>3084</v>
      </c>
      <c r="E492" s="143" t="s">
        <v>3088</v>
      </c>
      <c r="F492" s="144" t="s">
        <v>3089</v>
      </c>
      <c r="G492" s="142">
        <v>9.79320827E8</v>
      </c>
      <c r="H492" s="145"/>
      <c r="I492" s="145"/>
      <c r="J492" s="145" t="s">
        <v>224</v>
      </c>
      <c r="K492" s="146" t="s">
        <v>3090</v>
      </c>
      <c r="L492" s="42" t="s">
        <v>74</v>
      </c>
      <c r="M492" s="147" t="s">
        <v>1497</v>
      </c>
      <c r="N492" s="148" t="s">
        <v>1498</v>
      </c>
      <c r="O492" s="204">
        <v>0.0</v>
      </c>
      <c r="P492" s="149" t="s">
        <v>67</v>
      </c>
      <c r="Q492" s="149" t="s">
        <v>67</v>
      </c>
      <c r="R492" s="150">
        <v>1.0</v>
      </c>
      <c r="S492" s="149" t="s">
        <v>67</v>
      </c>
      <c r="T492" s="205"/>
      <c r="U492" s="149" t="s">
        <v>67</v>
      </c>
      <c r="V492" s="149" t="s">
        <v>1016</v>
      </c>
      <c r="W492" s="210"/>
      <c r="X492" s="116" t="s">
        <v>205</v>
      </c>
      <c r="Y492" s="152"/>
      <c r="Z492" s="145" t="s">
        <v>2964</v>
      </c>
      <c r="AA492" s="45" t="s">
        <v>74</v>
      </c>
      <c r="AB492" s="45" t="s">
        <v>67</v>
      </c>
      <c r="AC492" s="45"/>
      <c r="AD492" s="51" t="s">
        <v>76</v>
      </c>
      <c r="AE492" s="154"/>
      <c r="AF492" s="149"/>
      <c r="AG492" s="149"/>
      <c r="AH492" s="45">
        <v>0.0</v>
      </c>
      <c r="AI492" s="45"/>
      <c r="AJ492" s="45"/>
      <c r="AK492" s="45"/>
      <c r="AL492" s="45"/>
      <c r="AM492" s="45"/>
      <c r="AN492" s="45">
        <v>0.0</v>
      </c>
      <c r="AO492" s="155"/>
      <c r="AP492" s="154"/>
      <c r="AQ492" s="154"/>
      <c r="AR492" s="154"/>
      <c r="AS492" s="154"/>
      <c r="AT492" s="154"/>
    </row>
    <row r="493">
      <c r="A493" s="141" t="s">
        <v>3091</v>
      </c>
      <c r="B493" s="145" t="s">
        <v>2188</v>
      </c>
      <c r="C493" s="145" t="s">
        <v>3083</v>
      </c>
      <c r="D493" s="145" t="s">
        <v>3092</v>
      </c>
      <c r="E493" s="143" t="s">
        <v>3093</v>
      </c>
      <c r="F493" s="144" t="s">
        <v>3094</v>
      </c>
      <c r="G493" s="142">
        <v>9.85086554E8</v>
      </c>
      <c r="H493" s="145">
        <v>2959.0</v>
      </c>
      <c r="I493" s="145">
        <v>1003.0</v>
      </c>
      <c r="J493" s="145" t="s">
        <v>65</v>
      </c>
      <c r="K493" s="147" t="s">
        <v>3095</v>
      </c>
      <c r="L493" s="42" t="s">
        <v>67</v>
      </c>
      <c r="M493" s="147" t="s">
        <v>1497</v>
      </c>
      <c r="N493" s="148" t="s">
        <v>1498</v>
      </c>
      <c r="O493" s="204">
        <v>0.0</v>
      </c>
      <c r="P493" s="149"/>
      <c r="Q493" s="149" t="s">
        <v>67</v>
      </c>
      <c r="R493" s="150">
        <v>1.0</v>
      </c>
      <c r="S493" s="149" t="s">
        <v>67</v>
      </c>
      <c r="T493" s="205"/>
      <c r="U493" s="149" t="s">
        <v>67</v>
      </c>
      <c r="V493" s="149" t="s">
        <v>970</v>
      </c>
      <c r="W493" s="206">
        <v>46133.0</v>
      </c>
      <c r="X493" s="152" t="s">
        <v>2963</v>
      </c>
      <c r="Y493" s="152" t="s">
        <v>378</v>
      </c>
      <c r="Z493" s="145" t="s">
        <v>2964</v>
      </c>
      <c r="AA493" s="45" t="s">
        <v>74</v>
      </c>
      <c r="AB493" s="45" t="s">
        <v>67</v>
      </c>
      <c r="AC493" s="45" t="s">
        <v>86</v>
      </c>
      <c r="AD493" s="51" t="s">
        <v>76</v>
      </c>
      <c r="AE493" s="154"/>
      <c r="AF493" s="149" t="s">
        <v>67</v>
      </c>
      <c r="AG493" s="149"/>
      <c r="AH493" s="45">
        <v>0.0</v>
      </c>
      <c r="AI493" s="45"/>
      <c r="AJ493" s="45"/>
      <c r="AK493" s="45"/>
      <c r="AL493" s="45"/>
      <c r="AM493" s="45"/>
      <c r="AN493" s="45">
        <v>0.0</v>
      </c>
      <c r="AO493" s="155"/>
      <c r="AP493" s="154"/>
      <c r="AQ493" s="154"/>
      <c r="AR493" s="154"/>
      <c r="AS493" s="154"/>
      <c r="AT493" s="154"/>
    </row>
    <row r="494">
      <c r="A494" s="141" t="s">
        <v>3096</v>
      </c>
      <c r="B494" s="145" t="s">
        <v>2188</v>
      </c>
      <c r="C494" s="145" t="s">
        <v>3097</v>
      </c>
      <c r="D494" s="145" t="s">
        <v>3097</v>
      </c>
      <c r="E494" s="143" t="s">
        <v>3098</v>
      </c>
      <c r="F494" s="144" t="s">
        <v>3099</v>
      </c>
      <c r="G494" s="142">
        <v>9.66182888E8</v>
      </c>
      <c r="H494" s="145">
        <v>2787.0</v>
      </c>
      <c r="I494" s="145">
        <v>1217.0</v>
      </c>
      <c r="J494" s="145" t="s">
        <v>65</v>
      </c>
      <c r="K494" s="146" t="s">
        <v>3100</v>
      </c>
      <c r="L494" s="42" t="s">
        <v>67</v>
      </c>
      <c r="M494" s="147" t="s">
        <v>1497</v>
      </c>
      <c r="N494" s="148" t="s">
        <v>1498</v>
      </c>
      <c r="O494" s="204">
        <v>0.0</v>
      </c>
      <c r="P494" s="149" t="s">
        <v>67</v>
      </c>
      <c r="Q494" s="149" t="s">
        <v>67</v>
      </c>
      <c r="R494" s="150">
        <v>3.0</v>
      </c>
      <c r="S494" s="149" t="s">
        <v>67</v>
      </c>
      <c r="T494" s="211"/>
      <c r="U494" s="149" t="s">
        <v>67</v>
      </c>
      <c r="V494" s="149" t="s">
        <v>970</v>
      </c>
      <c r="W494" s="208">
        <v>46132.0</v>
      </c>
      <c r="X494" s="116" t="s">
        <v>2963</v>
      </c>
      <c r="Y494" s="116" t="s">
        <v>2430</v>
      </c>
      <c r="Z494" s="145" t="s">
        <v>2964</v>
      </c>
      <c r="AA494" s="45" t="s">
        <v>74</v>
      </c>
      <c r="AB494" s="45" t="s">
        <v>67</v>
      </c>
      <c r="AC494" s="45" t="s">
        <v>306</v>
      </c>
      <c r="AD494" s="51" t="s">
        <v>76</v>
      </c>
      <c r="AE494" s="154"/>
      <c r="AF494" s="149" t="s">
        <v>67</v>
      </c>
      <c r="AG494" s="149"/>
      <c r="AH494" s="45">
        <v>0.0</v>
      </c>
      <c r="AI494" s="45"/>
      <c r="AJ494" s="45"/>
      <c r="AK494" s="45"/>
      <c r="AL494" s="45"/>
      <c r="AM494" s="45"/>
      <c r="AN494" s="45">
        <v>0.0</v>
      </c>
      <c r="AO494" s="155"/>
      <c r="AP494" s="154"/>
      <c r="AQ494" s="154"/>
      <c r="AR494" s="154"/>
      <c r="AS494" s="154"/>
      <c r="AT494" s="154"/>
    </row>
    <row r="495">
      <c r="A495" s="141" t="s">
        <v>3096</v>
      </c>
      <c r="B495" s="145" t="s">
        <v>2188</v>
      </c>
      <c r="C495" s="145" t="s">
        <v>3097</v>
      </c>
      <c r="D495" s="145" t="s">
        <v>3097</v>
      </c>
      <c r="E495" s="143" t="s">
        <v>3101</v>
      </c>
      <c r="F495" s="144" t="s">
        <v>3102</v>
      </c>
      <c r="G495" s="142" t="s">
        <v>3103</v>
      </c>
      <c r="H495" s="145">
        <v>2961.0</v>
      </c>
      <c r="I495" s="145">
        <v>1005.0</v>
      </c>
      <c r="J495" s="145" t="s">
        <v>65</v>
      </c>
      <c r="K495" s="147" t="s">
        <v>3104</v>
      </c>
      <c r="L495" s="42" t="s">
        <v>67</v>
      </c>
      <c r="M495" s="147" t="s">
        <v>1497</v>
      </c>
      <c r="N495" s="148" t="s">
        <v>1498</v>
      </c>
      <c r="O495" s="204">
        <v>0.0</v>
      </c>
      <c r="P495" s="149" t="s">
        <v>67</v>
      </c>
      <c r="Q495" s="149" t="s">
        <v>67</v>
      </c>
      <c r="R495" s="150">
        <v>3.0</v>
      </c>
      <c r="S495" s="149" t="s">
        <v>67</v>
      </c>
      <c r="T495" s="205"/>
      <c r="U495" s="149" t="s">
        <v>67</v>
      </c>
      <c r="V495" s="149" t="s">
        <v>970</v>
      </c>
      <c r="W495" s="208">
        <v>46132.0</v>
      </c>
      <c r="X495" s="116" t="s">
        <v>2963</v>
      </c>
      <c r="Y495" s="116" t="s">
        <v>2430</v>
      </c>
      <c r="Z495" s="145" t="s">
        <v>2964</v>
      </c>
      <c r="AA495" s="45" t="s">
        <v>74</v>
      </c>
      <c r="AB495" s="45" t="s">
        <v>67</v>
      </c>
      <c r="AC495" s="45" t="s">
        <v>306</v>
      </c>
      <c r="AD495" s="51" t="s">
        <v>76</v>
      </c>
      <c r="AE495" s="154"/>
      <c r="AF495" s="149" t="s">
        <v>67</v>
      </c>
      <c r="AG495" s="149"/>
      <c r="AH495" s="45">
        <v>0.0</v>
      </c>
      <c r="AI495" s="45"/>
      <c r="AJ495" s="45"/>
      <c r="AK495" s="45"/>
      <c r="AL495" s="45"/>
      <c r="AM495" s="45"/>
      <c r="AN495" s="45">
        <v>0.0</v>
      </c>
      <c r="AO495" s="155"/>
      <c r="AP495" s="154"/>
      <c r="AQ495" s="154"/>
      <c r="AR495" s="154"/>
      <c r="AS495" s="154"/>
      <c r="AT495" s="154"/>
    </row>
    <row r="496">
      <c r="A496" s="141" t="s">
        <v>3105</v>
      </c>
      <c r="B496" s="145" t="s">
        <v>2188</v>
      </c>
      <c r="C496" s="145" t="s">
        <v>3106</v>
      </c>
      <c r="D496" s="145" t="s">
        <v>3107</v>
      </c>
      <c r="E496" s="143" t="s">
        <v>3108</v>
      </c>
      <c r="F496" s="144" t="s">
        <v>3109</v>
      </c>
      <c r="G496" s="142">
        <v>9.34803467E8</v>
      </c>
      <c r="H496" s="145">
        <v>2786.0</v>
      </c>
      <c r="I496" s="145">
        <v>1216.0</v>
      </c>
      <c r="J496" s="145" t="s">
        <v>65</v>
      </c>
      <c r="K496" s="147" t="s">
        <v>3110</v>
      </c>
      <c r="L496" s="42" t="s">
        <v>67</v>
      </c>
      <c r="M496" s="147" t="s">
        <v>1497</v>
      </c>
      <c r="N496" s="148" t="s">
        <v>1498</v>
      </c>
      <c r="O496" s="204">
        <v>0.0</v>
      </c>
      <c r="P496" s="149" t="s">
        <v>67</v>
      </c>
      <c r="Q496" s="149" t="s">
        <v>67</v>
      </c>
      <c r="R496" s="150">
        <v>2.0</v>
      </c>
      <c r="S496" s="149" t="s">
        <v>67</v>
      </c>
      <c r="T496" s="205"/>
      <c r="U496" s="149" t="s">
        <v>67</v>
      </c>
      <c r="V496" s="149" t="s">
        <v>1003</v>
      </c>
      <c r="W496" s="208">
        <v>46133.0</v>
      </c>
      <c r="X496" s="116" t="s">
        <v>2963</v>
      </c>
      <c r="Y496" s="116" t="s">
        <v>1438</v>
      </c>
      <c r="Z496" s="145" t="s">
        <v>2964</v>
      </c>
      <c r="AA496" s="45" t="s">
        <v>74</v>
      </c>
      <c r="AB496" s="45" t="s">
        <v>67</v>
      </c>
      <c r="AC496" s="45" t="s">
        <v>135</v>
      </c>
      <c r="AD496" s="51" t="s">
        <v>76</v>
      </c>
      <c r="AE496" s="154"/>
      <c r="AF496" s="149" t="s">
        <v>67</v>
      </c>
      <c r="AG496" s="149"/>
      <c r="AH496" s="45">
        <v>0.0</v>
      </c>
      <c r="AI496" s="45"/>
      <c r="AJ496" s="45"/>
      <c r="AK496" s="45"/>
      <c r="AL496" s="45"/>
      <c r="AM496" s="45"/>
      <c r="AN496" s="45">
        <v>0.0</v>
      </c>
      <c r="AO496" s="155"/>
      <c r="AP496" s="154"/>
      <c r="AQ496" s="154"/>
      <c r="AR496" s="154"/>
      <c r="AS496" s="154"/>
      <c r="AT496" s="154"/>
    </row>
    <row r="497">
      <c r="A497" s="141" t="s">
        <v>3105</v>
      </c>
      <c r="B497" s="145" t="s">
        <v>2188</v>
      </c>
      <c r="C497" s="145" t="s">
        <v>3106</v>
      </c>
      <c r="D497" s="145" t="s">
        <v>3107</v>
      </c>
      <c r="E497" s="143" t="s">
        <v>3111</v>
      </c>
      <c r="F497" s="144" t="s">
        <v>3112</v>
      </c>
      <c r="G497" s="142">
        <v>9.12169539E8</v>
      </c>
      <c r="H497" s="145">
        <v>2960.0</v>
      </c>
      <c r="I497" s="145">
        <v>1004.0</v>
      </c>
      <c r="J497" s="145" t="s">
        <v>65</v>
      </c>
      <c r="K497" s="146" t="s">
        <v>3113</v>
      </c>
      <c r="L497" s="42" t="s">
        <v>67</v>
      </c>
      <c r="M497" s="147" t="s">
        <v>1497</v>
      </c>
      <c r="N497" s="148" t="s">
        <v>1498</v>
      </c>
      <c r="O497" s="204">
        <v>0.0</v>
      </c>
      <c r="P497" s="149" t="s">
        <v>67</v>
      </c>
      <c r="Q497" s="149" t="s">
        <v>67</v>
      </c>
      <c r="R497" s="150">
        <v>2.0</v>
      </c>
      <c r="S497" s="149" t="s">
        <v>67</v>
      </c>
      <c r="T497" s="205"/>
      <c r="U497" s="149" t="s">
        <v>67</v>
      </c>
      <c r="V497" s="149" t="s">
        <v>970</v>
      </c>
      <c r="W497" s="208">
        <v>46131.0</v>
      </c>
      <c r="X497" s="116" t="s">
        <v>2963</v>
      </c>
      <c r="Y497" s="116" t="s">
        <v>1346</v>
      </c>
      <c r="Z497" s="145" t="s">
        <v>2964</v>
      </c>
      <c r="AA497" s="45" t="s">
        <v>74</v>
      </c>
      <c r="AB497" s="45" t="s">
        <v>67</v>
      </c>
      <c r="AC497" s="45" t="s">
        <v>135</v>
      </c>
      <c r="AD497" s="51" t="s">
        <v>76</v>
      </c>
      <c r="AE497" s="154"/>
      <c r="AF497" s="149" t="s">
        <v>67</v>
      </c>
      <c r="AG497" s="149"/>
      <c r="AH497" s="45">
        <v>0.0</v>
      </c>
      <c r="AI497" s="45"/>
      <c r="AJ497" s="45"/>
      <c r="AK497" s="45"/>
      <c r="AL497" s="45"/>
      <c r="AM497" s="45"/>
      <c r="AN497" s="45">
        <v>0.0</v>
      </c>
      <c r="AO497" s="155"/>
      <c r="AP497" s="154"/>
      <c r="AQ497" s="154"/>
      <c r="AR497" s="154"/>
      <c r="AS497" s="154"/>
      <c r="AT497" s="154"/>
    </row>
    <row r="498">
      <c r="A498" s="141" t="s">
        <v>3114</v>
      </c>
      <c r="B498" s="212" t="s">
        <v>2188</v>
      </c>
      <c r="C498" s="212" t="s">
        <v>3106</v>
      </c>
      <c r="D498" s="212" t="s">
        <v>3115</v>
      </c>
      <c r="E498" s="143"/>
      <c r="F498" s="144"/>
      <c r="G498" s="142"/>
      <c r="H498" s="145"/>
      <c r="I498" s="145"/>
      <c r="J498" s="145" t="s">
        <v>149</v>
      </c>
      <c r="K498" s="147" t="s">
        <v>3116</v>
      </c>
      <c r="L498" s="42" t="s">
        <v>67</v>
      </c>
      <c r="M498" s="147" t="s">
        <v>1497</v>
      </c>
      <c r="N498" s="148" t="s">
        <v>1498</v>
      </c>
      <c r="O498" s="204">
        <v>0.0</v>
      </c>
      <c r="P498" s="149" t="s">
        <v>67</v>
      </c>
      <c r="Q498" s="149" t="s">
        <v>67</v>
      </c>
      <c r="R498" s="150">
        <v>4.0</v>
      </c>
      <c r="S498" s="149" t="s">
        <v>67</v>
      </c>
      <c r="T498" s="205"/>
      <c r="U498" s="149" t="s">
        <v>67</v>
      </c>
      <c r="V498" s="149" t="s">
        <v>3052</v>
      </c>
      <c r="W498" s="206">
        <v>46133.0</v>
      </c>
      <c r="X498" s="152" t="s">
        <v>205</v>
      </c>
      <c r="Y498" s="152" t="s">
        <v>1381</v>
      </c>
      <c r="Z498" s="145" t="s">
        <v>2964</v>
      </c>
      <c r="AA498" s="45" t="s">
        <v>74</v>
      </c>
      <c r="AB498" s="45" t="s">
        <v>74</v>
      </c>
      <c r="AC498" s="45"/>
      <c r="AD498" s="51" t="s">
        <v>1081</v>
      </c>
      <c r="AE498" s="154"/>
      <c r="AF498" s="149"/>
      <c r="AG498" s="149"/>
      <c r="AH498" s="45">
        <v>0.0</v>
      </c>
      <c r="AI498" s="45"/>
      <c r="AJ498" s="45"/>
      <c r="AK498" s="45"/>
      <c r="AL498" s="45"/>
      <c r="AM498" s="45"/>
      <c r="AN498" s="45">
        <v>0.0</v>
      </c>
      <c r="AO498" s="213" t="s">
        <v>3117</v>
      </c>
      <c r="AP498" s="154"/>
      <c r="AQ498" s="154"/>
      <c r="AR498" s="154"/>
      <c r="AS498" s="154"/>
      <c r="AT498" s="154"/>
    </row>
    <row r="499">
      <c r="A499" s="214"/>
      <c r="B499" s="215"/>
      <c r="C499" s="215"/>
      <c r="D499" s="215"/>
      <c r="E499" s="216"/>
      <c r="F499" s="217"/>
      <c r="G499" s="218"/>
      <c r="H499" s="219"/>
      <c r="I499" s="219"/>
      <c r="J499" s="219"/>
      <c r="K499" s="220"/>
      <c r="L499" s="221"/>
      <c r="M499" s="220"/>
      <c r="N499" s="222"/>
      <c r="O499" s="223"/>
      <c r="P499" s="224"/>
      <c r="Q499" s="224"/>
      <c r="R499" s="225"/>
      <c r="S499" s="224"/>
      <c r="T499" s="226"/>
      <c r="U499" s="224"/>
      <c r="V499" s="224"/>
      <c r="W499" s="227"/>
      <c r="X499" s="228"/>
      <c r="Y499" s="228"/>
      <c r="Z499" s="219"/>
      <c r="AA499" s="229"/>
      <c r="AB499" s="229"/>
      <c r="AC499" s="229"/>
      <c r="AD499" s="230"/>
      <c r="AE499" s="231"/>
      <c r="AF499" s="224"/>
      <c r="AG499" s="224"/>
      <c r="AH499" s="229">
        <f>SUM(AH3:AH498)</f>
        <v>6632</v>
      </c>
      <c r="AI499" s="229"/>
      <c r="AJ499" s="229"/>
      <c r="AK499" s="229"/>
      <c r="AL499" s="229"/>
      <c r="AM499" s="229"/>
      <c r="AN499" s="229"/>
      <c r="AO499" s="232"/>
      <c r="AP499" s="231"/>
      <c r="AQ499" s="231"/>
      <c r="AR499" s="231"/>
      <c r="AS499" s="231"/>
      <c r="AT499" s="231"/>
    </row>
  </sheetData>
  <customSheetViews>
    <customSheetView guid="{CA893DA8-5B0E-4972-8C00-4EC6B9C693A0}" filter="1" showAutoFilter="1">
      <autoFilter ref="$A$1:$AT$499">
        <filterColumn colId="25">
          <filters blank="1">
            <filter val="PERSONA RESPONSABLE"/>
            <filter val="ARIADNA CHAVEZ"/>
          </filters>
        </filterColumn>
      </autoFilter>
    </customSheetView>
    <customSheetView guid="{DAB2FA5A-2330-4B2B-95CE-704D8C5EF3DB}" filter="1" showAutoFilter="1">
      <autoFilter ref="$AD$1:$AD$498"/>
    </customSheetView>
    <customSheetView guid="{ECBBAA16-43BD-424C-842D-2A187E765D0E}" filter="1" showAutoFilter="1">
      <autoFilter ref="$AB$1:$AB$498"/>
    </customSheetView>
    <customSheetView guid="{B378EFA6-7EA4-411C-869D-46C1304B65D9}" filter="1" showAutoFilter="1">
      <autoFilter ref="$AD$1:$AD$498"/>
    </customSheetView>
    <customSheetView guid="{0F873B7A-6BD4-4702-BA68-B76B01E4BD4F}" filter="1" showAutoFilter="1">
      <autoFilter ref="$AD$1:$AD$498"/>
    </customSheetView>
    <customSheetView guid="{30E67381-51E8-402B-9DB8-61A0371BCD8C}" filter="1" showAutoFilter="1">
      <autoFilter ref="$AB$1:$AB$498">
        <filterColumn colId="0">
          <filters>
            <filter val="NO"/>
          </filters>
        </filterColumn>
      </autoFilter>
    </customSheetView>
    <customSheetView guid="{BB0DFADC-3183-4274-A04F-0642C22F1D38}" filter="1" showAutoFilter="1">
      <autoFilter ref="$AA$1:$AG$498"/>
    </customSheetView>
    <customSheetView guid="{FF21AFF8-9B82-4578-9310-CDE6EBA51E08}" filter="1" showAutoFilter="1">
      <autoFilter ref="$AD$1:$AD$498">
        <filterColumn colId="0">
          <filters>
            <filter val="22/04/26"/>
            <filter val="23/04/26"/>
            <filter val="22/04/2026"/>
          </filters>
        </filterColumn>
      </autoFilter>
    </customSheetView>
  </customSheetViews>
  <mergeCells count="6">
    <mergeCell ref="B1:D1"/>
    <mergeCell ref="M1:U1"/>
    <mergeCell ref="W1:Y1"/>
    <mergeCell ref="AA1:AG1"/>
    <mergeCell ref="AP1:AT1"/>
    <mergeCell ref="AH1:AN1"/>
  </mergeCells>
  <dataValidations>
    <dataValidation type="list" allowBlank="1" showErrorMessage="1" sqref="J3:J499">
      <formula1>"CONTRATADO,DESISTIO,EN AGENCIA,PERSONAL DRE"</formula1>
    </dataValidation>
    <dataValidation type="list" allowBlank="1" showErrorMessage="1" sqref="L3:L499">
      <formula1>"SI,NO"</formula1>
    </dataValidation>
    <dataValidation type="list" allowBlank="1" showErrorMessage="1" sqref="AC23">
      <formula1>"Plaza de armas,Colegio,Casa de ciudadano,Centro de salud,Comunidad vecinal ,Comisaría,Bodega,Mercado,Frontis de la Municipalidad,EN AGENCIA,Puesto de control migratorio, Subprefectura"</formula1>
    </dataValidation>
    <dataValidation type="list" allowBlank="1" showErrorMessage="1" sqref="AC415">
      <formula1>"Plaza de armas,Colegio,Casa de ciudadano,Centro de salud,Comunidad vecinal ,Comisaría,Bodega,Mercado,Frontis de la Municipalidad,EN AGENCIA,Puesto de control migratorio,Iglesia"</formula1>
    </dataValidation>
    <dataValidation type="list" allowBlank="1" showErrorMessage="1" sqref="AC4:AC6 AC8:AC13 AC15:AC18 AC21 AC24:AC27 AC31:AC168 AC174:AC234 AC236:AC242 AC245:AC247 AC250:AC251 AC258 AC260 AC262 AC267:AC389 AC392:AC414 AC416:AC467 AC469:AC499">
      <formula1>"Plaza de armas,Colegio,Casa de ciudadano,Centro de salud,Local vecinal ,Comisaría,Bodega,Mercado,Frontis de la Municipalidad,EN AGENCIA,Puesto de control migratorio,Iglesia,Otros"</formula1>
    </dataValidation>
    <dataValidation type="list" allowBlank="1" showErrorMessage="1" sqref="Y16:Y17 Y33 Y35:Y499">
      <formula1>"REGISTRADOR CIVIL,CATASTRO,COMISARIA,AUTORIDADES"</formula1>
    </dataValidation>
    <dataValidation type="list" allowBlank="1" showErrorMessage="1" sqref="AC243">
      <formula1>"Plaza de armas,Colegio,Casa de ciudadano,Centro de salud,Comunidad vecinal ,Comisaría,Bodega,Mercado,Frontis de la Municipalidad,EN AGENCIA,Local Comunal DEMUNA"</formula1>
    </dataValidation>
    <dataValidation type="list" allowBlank="1" showErrorMessage="1" sqref="AC263">
      <formula1>"Plaza de armas,Colegio,Casa de ciudadano,Centro de salud,Comunidad vecinal ,Comisaría,Bodega,Mercado,Frontis de la Municipalidad,EN AGENCIA,BANCO"</formula1>
    </dataValidation>
    <dataValidation type="list" allowBlank="1" showErrorMessage="1" sqref="V3:V499">
      <formula1>"1. TRABAJO EN CAMPO,2. FORMATOS LEGALES,3. SURVEY CTO"</formula1>
    </dataValidation>
    <dataValidation type="list" allowBlank="1" showErrorMessage="1" sqref="AC235">
      <formula1>"Plaza de armas,Colegio,Casa de ciudadano,Centro de salud,Comunidad vecinal ,Comisaría,Bodega,Mercado,Frontis de la Municipalidad,EN AGENCIA,Centro deportivo"</formula1>
    </dataValidation>
    <dataValidation type="list" allowBlank="1" showErrorMessage="1" sqref="AC20">
      <formula1>"Plaza de armas,Colegio,Casa de ciudadano,Centro de salud,Comunidad vecinal ,Comisaría,Bodega,Mercado,Frontis de la Municipalidad,EN AGENCIA,Comedor Parroquial"</formula1>
    </dataValidation>
    <dataValidation type="list" allowBlank="1" showErrorMessage="1" sqref="AC265">
      <formula1>"Plaza de armas,Colegio,Casa de ciudadano,Centro de salud,Local vecinal ,Comisaría,Bodega,Mercado,Frontis de la Municipalidad,EN AGENCIA,Puesto de control migratorio,Iglesia,Otros,Local de ,Local de Comunidad Campesina"</formula1>
    </dataValidation>
    <dataValidation type="list" allowBlank="1" showErrorMessage="1" sqref="AC468">
      <formula1>"Centro Deportivo,Opción 2"</formula1>
    </dataValidation>
    <dataValidation type="list" allowBlank="1" showErrorMessage="1" sqref="AC22 AC28">
      <formula1>"Plaza de armas,Colegio,Casa de ciudadano,Centro de salud,Comunidad vecinal ,Comisaría,Bodega,Mercado,Frontis de la Municipalidad,EN AGENCIA,Comedor Popular"</formula1>
    </dataValidation>
    <dataValidation type="list" allowBlank="1" showErrorMessage="1" sqref="AC390:AC391">
      <formula1>"Plaza de armas,Colegio,Casa de ciudadano,Centro de salud,Comunidad vecinal ,Comisaría,Bodega,Mercado,Frontis de la Municipalidad,EN AGENCIA,Otra entidad pública"</formula1>
    </dataValidation>
    <dataValidation type="list" allowBlank="1" showErrorMessage="1" sqref="P3:Q499 S3:S499 U3:U499 AA3:AA499 AF3:AG499">
      <formula1>"SI,NO,DRE"</formula1>
    </dataValidation>
    <dataValidation type="list" allowBlank="1" showErrorMessage="1" sqref="AC3 AC7 AC14 AC19 AC29 AC244 AC257">
      <formula1>"Plaza de armas,Colegio,Casa de ciudadano,Centro de salud,Comunidad vecinal ,Comisaría,Bodega,Mercado,Frontis de la Municipalidad,EN AGENCIA,Local Comunal"</formula1>
    </dataValidation>
    <dataValidation type="list" allowBlank="1" showErrorMessage="1" sqref="AC249">
      <formula1>"Plaza de armas,Colegio,Casa de ciudadano,Centro de salud,Comunidad vecinal ,Comisaría,Bodega,Mercado,Frontis de la Municipalidad,EN AGENCIA,Puesto de control migratorio,Iglesia,Demuna"</formula1>
    </dataValidation>
    <dataValidation type="list" allowBlank="1" showErrorMessage="1" sqref="AC252:AC253 AC259 AC266">
      <formula1>"Plaza de armas,Colegio,Casa de ciudadano,Centro de salud,Local vecinal ,Comisaría,Bodega,Mercado,Frontis de la Municipalidad,EN AGENCIA,Puesto de control migratorio,Iglesia,Otros,Local Comunal"</formula1>
    </dataValidation>
    <dataValidation type="list" allowBlank="1" showErrorMessage="1" sqref="AC264">
      <formula1>"Plaza de armas,Colegio,Casa de ciudadano,Centro de salud,Local vecinal ,Comisaría,Bodega,Mercado,Frontis de la Municipalidad,EN AGENCIA,Puesto de control migratorio,Iglesia,Otros,Local de Comunidad Campesina"</formula1>
    </dataValidation>
    <dataValidation type="list" allowBlank="1" showErrorMessage="1" sqref="Y3:Y15 Y18:Y32 Y34">
      <formula1>"REGISTRADOR CIVIL,CATASTRO,COMISARIA,AUTORIDADES,TODOS"</formula1>
    </dataValidation>
    <dataValidation type="list" allowBlank="1" showErrorMessage="1" sqref="AC255">
      <formula1>"Plaza de armas,Colegio,Casa de ciudadano,Centro de salud,Local vecinal ,Comisaría,Bodega,Mercado,Frontis de la Municipalidad,EN AGENCIA,Puesto de control migratorio,Iglesia,Otros,Albergue"</formula1>
    </dataValidation>
    <dataValidation type="list" allowBlank="1" showErrorMessage="1" sqref="AC172:AC173">
      <formula1>"Plaza de armas,Colegio,Casa de ciudadano,Centro de salud,Comunidad vecinal ,Comisaría,Bodega,Mercado,Frontis de la Municipalidad,EN AGENCIA,Banco"</formula1>
    </dataValidation>
    <dataValidation type="list" allowBlank="1" showErrorMessage="1" sqref="AB3:AB499">
      <formula1>"SI,NO"</formula1>
    </dataValidation>
    <dataValidation type="list" allowBlank="1" showErrorMessage="1" sqref="AC248">
      <formula1>"Plaza de armas,Colegio,Casa de ciudadano,Centro de salud,Local vecinal ,Comisaría,Bodega,Mercado,Frontis de la Municipalidad,EN AGENCIA,Puesto de control migratorio,Iglesia,Otros,Agencia Bancaria"</formula1>
    </dataValidation>
    <dataValidation type="list" allowBlank="1" showErrorMessage="1" sqref="AC254">
      <formula1>"Plaza de armas,Colegio,Casa de ciudadano,Centro de salud,Comunidad vecinal ,Comisaría,Bodega,Mercado,Frontis de la Municipalidad,EN AGENCIA,Puesto de control migratorio,Iglesia,Otros,Local Comunal"</formula1>
    </dataValidation>
    <dataValidation type="list" allowBlank="1" showErrorMessage="1" sqref="AC256">
      <formula1>"Plaza de armas,Colegio,Casa de ciudadano,Centro de salud,Local vecinal ,Comisaría,Bodega,Mercado,Frontis de la Municipalidad,EN AGENCIA,Puesto de control migratorio,Iglesia,Otros,LOCAL COMUNAL"</formula1>
    </dataValidation>
    <dataValidation type="list" allowBlank="1" showErrorMessage="1" sqref="AC30">
      <formula1>"Plaza de armas,Colegio,Casa de ciudadano,Centro de salud,Comunidad vecinal ,Comisaría,Bodega,Mercado,Frontis de la Municipalidad,EN AGENCIA,Juzgado de Paz"</formula1>
    </dataValidation>
    <dataValidation type="list" allowBlank="1" showErrorMessage="1" sqref="AC261">
      <formula1>"Plaza de armas,Colegio,Casa de ciudadano,Centro de salud,Local vecinal ,Comisaría,Bodega,Mercado,Frontis de la Municipalidad,EN AGENCIA,Puesto de control migratorio,Iglesia,Otros,Sub Prefectura"</formula1>
    </dataValidation>
    <dataValidation type="list" allowBlank="1" showErrorMessage="1" sqref="AC169:AC171">
      <formula1>"Plaza de armas,Colegio,Casa de ciudadano,Centro de salud,Comunidad vecinal ,Comisaría,Bodega,Mercado,Frontis de la Municipalidad,EN AGENCIA,Parroquia"</formula1>
    </dataValidation>
  </dataValidations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12.63"/>
    <col customWidth="1" min="3" max="4" width="11.0"/>
    <col customWidth="1" min="5" max="6" width="15.13"/>
    <col customWidth="1" min="7" max="7" width="15.25"/>
  </cols>
  <sheetData>
    <row r="1">
      <c r="A1" s="1"/>
      <c r="B1" s="2" t="s">
        <v>3118</v>
      </c>
      <c r="C1" s="3"/>
      <c r="D1" s="4"/>
      <c r="E1" s="8" t="s">
        <v>1</v>
      </c>
      <c r="F1" s="8" t="s">
        <v>1</v>
      </c>
      <c r="G1" s="13" t="s">
        <v>6</v>
      </c>
    </row>
    <row r="2">
      <c r="A2" s="18" t="s">
        <v>11</v>
      </c>
      <c r="B2" s="18" t="s">
        <v>12</v>
      </c>
      <c r="C2" s="18" t="s">
        <v>13</v>
      </c>
      <c r="D2" s="19" t="s">
        <v>14</v>
      </c>
      <c r="E2" s="23" t="s">
        <v>20</v>
      </c>
      <c r="F2" s="23" t="s">
        <v>3119</v>
      </c>
      <c r="G2" s="29" t="s">
        <v>36</v>
      </c>
    </row>
    <row r="3">
      <c r="A3" s="35" t="s">
        <v>196</v>
      </c>
      <c r="B3" s="36" t="s">
        <v>58</v>
      </c>
      <c r="C3" s="36" t="s">
        <v>137</v>
      </c>
      <c r="D3" s="61" t="s">
        <v>197</v>
      </c>
      <c r="E3" s="40" t="s">
        <v>149</v>
      </c>
      <c r="F3" s="40"/>
      <c r="G3" s="50" t="s">
        <v>73</v>
      </c>
    </row>
    <row r="4">
      <c r="A4" s="35" t="s">
        <v>206</v>
      </c>
      <c r="B4" s="36" t="s">
        <v>58</v>
      </c>
      <c r="C4" s="36" t="s">
        <v>107</v>
      </c>
      <c r="D4" s="36" t="s">
        <v>207</v>
      </c>
      <c r="E4" s="40" t="s">
        <v>149</v>
      </c>
      <c r="F4" s="40"/>
      <c r="G4" s="50" t="s">
        <v>73</v>
      </c>
    </row>
    <row r="5">
      <c r="A5" s="35" t="s">
        <v>489</v>
      </c>
      <c r="B5" s="36" t="s">
        <v>319</v>
      </c>
      <c r="C5" s="36" t="s">
        <v>386</v>
      </c>
      <c r="D5" s="36" t="s">
        <v>490</v>
      </c>
      <c r="E5" s="40" t="s">
        <v>65</v>
      </c>
      <c r="F5" s="40" t="s">
        <v>67</v>
      </c>
      <c r="G5" s="40" t="s">
        <v>379</v>
      </c>
    </row>
    <row r="6">
      <c r="A6" s="35" t="s">
        <v>934</v>
      </c>
      <c r="B6" s="36" t="s">
        <v>872</v>
      </c>
      <c r="C6" s="36" t="s">
        <v>879</v>
      </c>
      <c r="D6" s="61" t="s">
        <v>935</v>
      </c>
      <c r="E6" s="40" t="s">
        <v>149</v>
      </c>
      <c r="F6" s="40" t="s">
        <v>67</v>
      </c>
      <c r="G6" s="40" t="s">
        <v>793</v>
      </c>
    </row>
    <row r="7">
      <c r="A7" s="141" t="s">
        <v>960</v>
      </c>
      <c r="B7" s="142" t="s">
        <v>872</v>
      </c>
      <c r="C7" s="142" t="s">
        <v>961</v>
      </c>
      <c r="D7" s="142" t="s">
        <v>962</v>
      </c>
      <c r="E7" s="145" t="s">
        <v>65</v>
      </c>
      <c r="F7" s="145" t="s">
        <v>67</v>
      </c>
      <c r="G7" s="145" t="s">
        <v>966</v>
      </c>
    </row>
    <row r="8">
      <c r="A8" s="124" t="s">
        <v>1072</v>
      </c>
      <c r="B8" s="125" t="s">
        <v>1073</v>
      </c>
      <c r="C8" s="125" t="s">
        <v>1074</v>
      </c>
      <c r="D8" s="125" t="s">
        <v>1075</v>
      </c>
      <c r="E8" s="128" t="s">
        <v>65</v>
      </c>
      <c r="F8" s="128" t="s">
        <v>67</v>
      </c>
      <c r="G8" s="128" t="s">
        <v>966</v>
      </c>
    </row>
    <row r="9">
      <c r="A9" s="35" t="s">
        <v>1222</v>
      </c>
      <c r="B9" s="36" t="s">
        <v>1141</v>
      </c>
      <c r="C9" s="36" t="s">
        <v>1223</v>
      </c>
      <c r="D9" s="61" t="s">
        <v>1224</v>
      </c>
      <c r="E9" s="40" t="s">
        <v>1226</v>
      </c>
      <c r="F9" s="40" t="s">
        <v>67</v>
      </c>
      <c r="G9" s="40" t="s">
        <v>1184</v>
      </c>
    </row>
    <row r="10">
      <c r="A10" s="35" t="s">
        <v>1392</v>
      </c>
      <c r="B10" s="36" t="s">
        <v>1332</v>
      </c>
      <c r="C10" s="36" t="s">
        <v>1348</v>
      </c>
      <c r="D10" s="61" t="s">
        <v>1393</v>
      </c>
      <c r="E10" s="40" t="s">
        <v>1226</v>
      </c>
      <c r="F10" s="40"/>
      <c r="G10" s="159" t="s">
        <v>1396</v>
      </c>
    </row>
    <row r="11">
      <c r="A11" s="35" t="s">
        <v>1584</v>
      </c>
      <c r="B11" s="36" t="s">
        <v>1572</v>
      </c>
      <c r="C11" s="36" t="s">
        <v>1585</v>
      </c>
      <c r="D11" s="61" t="s">
        <v>1586</v>
      </c>
      <c r="E11" s="40" t="s">
        <v>1226</v>
      </c>
      <c r="F11" s="40" t="s">
        <v>74</v>
      </c>
      <c r="G11" s="40" t="s">
        <v>1583</v>
      </c>
    </row>
    <row r="12">
      <c r="A12" s="35" t="s">
        <v>1844</v>
      </c>
      <c r="B12" s="36" t="s">
        <v>1788</v>
      </c>
      <c r="C12" s="36" t="s">
        <v>1798</v>
      </c>
      <c r="D12" s="36" t="s">
        <v>1845</v>
      </c>
      <c r="E12" s="40" t="s">
        <v>149</v>
      </c>
      <c r="F12" s="40" t="s">
        <v>67</v>
      </c>
      <c r="G12" s="40" t="s">
        <v>1796</v>
      </c>
    </row>
    <row r="13">
      <c r="A13" s="35" t="s">
        <v>1901</v>
      </c>
      <c r="B13" s="36" t="s">
        <v>1865</v>
      </c>
      <c r="C13" s="36" t="s">
        <v>1902</v>
      </c>
      <c r="D13" s="36" t="s">
        <v>1903</v>
      </c>
      <c r="E13" s="40" t="s">
        <v>149</v>
      </c>
      <c r="F13" s="40"/>
      <c r="G13" s="40" t="s">
        <v>1796</v>
      </c>
    </row>
    <row r="14">
      <c r="A14" s="35" t="s">
        <v>2065</v>
      </c>
      <c r="B14" s="36" t="s">
        <v>1865</v>
      </c>
      <c r="C14" s="36" t="s">
        <v>1902</v>
      </c>
      <c r="D14" s="36" t="s">
        <v>2066</v>
      </c>
      <c r="E14" s="40" t="s">
        <v>65</v>
      </c>
      <c r="F14" s="40" t="s">
        <v>67</v>
      </c>
      <c r="G14" s="40" t="s">
        <v>1973</v>
      </c>
    </row>
    <row r="15">
      <c r="A15" s="35" t="s">
        <v>2098</v>
      </c>
      <c r="B15" s="36" t="s">
        <v>1865</v>
      </c>
      <c r="C15" s="36" t="s">
        <v>1873</v>
      </c>
      <c r="D15" s="36" t="s">
        <v>2099</v>
      </c>
      <c r="E15" s="40" t="s">
        <v>65</v>
      </c>
      <c r="F15" s="40" t="s">
        <v>67</v>
      </c>
      <c r="G15" s="40" t="s">
        <v>1973</v>
      </c>
    </row>
    <row r="16">
      <c r="A16" s="35" t="s">
        <v>2327</v>
      </c>
      <c r="B16" s="36" t="s">
        <v>2126</v>
      </c>
      <c r="C16" s="36" t="s">
        <v>2136</v>
      </c>
      <c r="D16" s="36" t="s">
        <v>2136</v>
      </c>
      <c r="E16" s="40" t="s">
        <v>65</v>
      </c>
      <c r="F16" s="40" t="s">
        <v>67</v>
      </c>
      <c r="G16" s="169" t="s">
        <v>2157</v>
      </c>
    </row>
    <row r="17">
      <c r="A17" s="35" t="s">
        <v>2423</v>
      </c>
      <c r="B17" s="36" t="s">
        <v>2126</v>
      </c>
      <c r="C17" s="36" t="s">
        <v>2127</v>
      </c>
      <c r="D17" s="36" t="s">
        <v>2424</v>
      </c>
      <c r="E17" s="40" t="s">
        <v>65</v>
      </c>
      <c r="F17" s="40" t="s">
        <v>67</v>
      </c>
      <c r="G17" s="40" t="s">
        <v>2356</v>
      </c>
    </row>
    <row r="18">
      <c r="A18" s="35" t="s">
        <v>2457</v>
      </c>
      <c r="B18" s="36" t="s">
        <v>2126</v>
      </c>
      <c r="C18" s="36" t="s">
        <v>2310</v>
      </c>
      <c r="D18" s="36" t="s">
        <v>2458</v>
      </c>
      <c r="E18" s="40" t="s">
        <v>1226</v>
      </c>
      <c r="F18" s="40" t="s">
        <v>67</v>
      </c>
      <c r="G18" s="40" t="s">
        <v>2356</v>
      </c>
    </row>
    <row r="19">
      <c r="A19" s="35" t="s">
        <v>2457</v>
      </c>
      <c r="B19" s="36" t="s">
        <v>2126</v>
      </c>
      <c r="C19" s="36" t="s">
        <v>2310</v>
      </c>
      <c r="D19" s="36" t="s">
        <v>2458</v>
      </c>
      <c r="E19" s="40" t="s">
        <v>1226</v>
      </c>
      <c r="F19" s="40" t="s">
        <v>67</v>
      </c>
      <c r="G19" s="40" t="s">
        <v>2356</v>
      </c>
    </row>
    <row r="20">
      <c r="A20" s="35" t="s">
        <v>2580</v>
      </c>
      <c r="B20" s="36" t="s">
        <v>2522</v>
      </c>
      <c r="C20" s="36" t="s">
        <v>2530</v>
      </c>
      <c r="D20" s="36" t="s">
        <v>2581</v>
      </c>
      <c r="E20" s="40" t="s">
        <v>65</v>
      </c>
      <c r="F20" s="40" t="s">
        <v>67</v>
      </c>
      <c r="G20" s="40" t="s">
        <v>2554</v>
      </c>
    </row>
    <row r="21">
      <c r="A21" s="35" t="s">
        <v>2608</v>
      </c>
      <c r="B21" s="36" t="s">
        <v>2589</v>
      </c>
      <c r="C21" s="36" t="s">
        <v>2599</v>
      </c>
      <c r="D21" s="36" t="s">
        <v>2609</v>
      </c>
      <c r="E21" s="40" t="s">
        <v>65</v>
      </c>
      <c r="F21" s="40" t="s">
        <v>67</v>
      </c>
      <c r="G21" s="40" t="s">
        <v>2554</v>
      </c>
    </row>
    <row r="22">
      <c r="A22" s="35" t="s">
        <v>2781</v>
      </c>
      <c r="B22" s="36" t="s">
        <v>2677</v>
      </c>
      <c r="C22" s="36" t="s">
        <v>2678</v>
      </c>
      <c r="D22" s="36" t="s">
        <v>2782</v>
      </c>
      <c r="E22" s="40" t="s">
        <v>65</v>
      </c>
      <c r="F22" s="40" t="s">
        <v>67</v>
      </c>
      <c r="G22" s="40" t="s">
        <v>2774</v>
      </c>
    </row>
    <row r="23">
      <c r="A23" s="35" t="s">
        <v>2781</v>
      </c>
      <c r="B23" s="36" t="s">
        <v>2677</v>
      </c>
      <c r="C23" s="36" t="s">
        <v>2678</v>
      </c>
      <c r="D23" s="36" t="s">
        <v>2782</v>
      </c>
      <c r="E23" s="40" t="s">
        <v>65</v>
      </c>
      <c r="F23" s="40" t="s">
        <v>67</v>
      </c>
      <c r="G23" s="40" t="s">
        <v>2774</v>
      </c>
    </row>
    <row r="24">
      <c r="A24" s="35" t="s">
        <v>2790</v>
      </c>
      <c r="B24" s="36" t="s">
        <v>2677</v>
      </c>
      <c r="C24" s="36" t="s">
        <v>2688</v>
      </c>
      <c r="D24" s="36" t="s">
        <v>2791</v>
      </c>
      <c r="E24" s="40" t="s">
        <v>65</v>
      </c>
      <c r="F24" s="40" t="s">
        <v>67</v>
      </c>
      <c r="G24" s="40" t="s">
        <v>2774</v>
      </c>
    </row>
    <row r="25">
      <c r="A25" s="35" t="s">
        <v>2790</v>
      </c>
      <c r="B25" s="36" t="s">
        <v>2677</v>
      </c>
      <c r="C25" s="36" t="s">
        <v>2688</v>
      </c>
      <c r="D25" s="36" t="s">
        <v>2791</v>
      </c>
      <c r="E25" s="40" t="s">
        <v>65</v>
      </c>
      <c r="F25" s="40" t="s">
        <v>67</v>
      </c>
      <c r="G25" s="40" t="s">
        <v>2774</v>
      </c>
    </row>
    <row r="26">
      <c r="A26" s="35" t="s">
        <v>2801</v>
      </c>
      <c r="B26" s="36" t="s">
        <v>2677</v>
      </c>
      <c r="C26" s="36" t="s">
        <v>2695</v>
      </c>
      <c r="D26" s="36" t="s">
        <v>2802</v>
      </c>
      <c r="E26" s="40" t="s">
        <v>65</v>
      </c>
      <c r="F26" s="40" t="s">
        <v>67</v>
      </c>
      <c r="G26" s="40" t="s">
        <v>2774</v>
      </c>
    </row>
    <row r="27">
      <c r="A27" s="35" t="s">
        <v>2813</v>
      </c>
      <c r="B27" s="36" t="s">
        <v>2677</v>
      </c>
      <c r="C27" s="36" t="s">
        <v>1874</v>
      </c>
      <c r="D27" s="36" t="s">
        <v>2814</v>
      </c>
      <c r="E27" s="40" t="s">
        <v>65</v>
      </c>
      <c r="F27" s="40" t="s">
        <v>67</v>
      </c>
      <c r="G27" s="40" t="s">
        <v>2774</v>
      </c>
    </row>
    <row r="28">
      <c r="A28" s="35" t="s">
        <v>2836</v>
      </c>
      <c r="B28" s="36" t="s">
        <v>2677</v>
      </c>
      <c r="C28" s="36" t="s">
        <v>2688</v>
      </c>
      <c r="D28" s="36" t="s">
        <v>2837</v>
      </c>
      <c r="E28" s="40" t="s">
        <v>65</v>
      </c>
      <c r="F28" s="40" t="s">
        <v>67</v>
      </c>
      <c r="G28" s="40" t="s">
        <v>2774</v>
      </c>
    </row>
    <row r="29">
      <c r="A29" s="35" t="s">
        <v>2842</v>
      </c>
      <c r="B29" s="36" t="s">
        <v>2677</v>
      </c>
      <c r="C29" s="36" t="s">
        <v>2688</v>
      </c>
      <c r="D29" s="36" t="s">
        <v>2843</v>
      </c>
      <c r="E29" s="40" t="s">
        <v>65</v>
      </c>
      <c r="F29" s="40" t="s">
        <v>67</v>
      </c>
      <c r="G29" s="40" t="s">
        <v>2774</v>
      </c>
    </row>
    <row r="30">
      <c r="A30" s="35" t="s">
        <v>2848</v>
      </c>
      <c r="B30" s="36" t="s">
        <v>2677</v>
      </c>
      <c r="C30" s="36" t="s">
        <v>2758</v>
      </c>
      <c r="D30" s="36" t="s">
        <v>2849</v>
      </c>
      <c r="E30" s="40" t="s">
        <v>65</v>
      </c>
      <c r="F30" s="40" t="s">
        <v>67</v>
      </c>
      <c r="G30" s="40" t="s">
        <v>2774</v>
      </c>
    </row>
    <row r="31">
      <c r="A31" s="35" t="s">
        <v>2875</v>
      </c>
      <c r="B31" s="36" t="s">
        <v>2677</v>
      </c>
      <c r="C31" s="36" t="s">
        <v>1874</v>
      </c>
      <c r="D31" s="36" t="s">
        <v>2876</v>
      </c>
      <c r="E31" s="40" t="s">
        <v>65</v>
      </c>
      <c r="F31" s="40" t="s">
        <v>67</v>
      </c>
      <c r="G31" s="40" t="s">
        <v>2774</v>
      </c>
    </row>
    <row r="32">
      <c r="A32" s="35" t="s">
        <v>2886</v>
      </c>
      <c r="B32" s="36" t="s">
        <v>2677</v>
      </c>
      <c r="C32" s="36" t="s">
        <v>2688</v>
      </c>
      <c r="D32" s="36" t="s">
        <v>2887</v>
      </c>
      <c r="E32" s="40" t="s">
        <v>65</v>
      </c>
      <c r="F32" s="40" t="s">
        <v>67</v>
      </c>
      <c r="G32" s="40" t="s">
        <v>2774</v>
      </c>
    </row>
    <row r="33">
      <c r="A33" s="141" t="s">
        <v>3082</v>
      </c>
      <c r="B33" s="142" t="s">
        <v>2188</v>
      </c>
      <c r="C33" s="142" t="s">
        <v>3083</v>
      </c>
      <c r="D33" s="142" t="s">
        <v>3084</v>
      </c>
      <c r="E33" s="145" t="s">
        <v>65</v>
      </c>
      <c r="F33" s="145" t="s">
        <v>67</v>
      </c>
      <c r="G33" s="145" t="s">
        <v>2964</v>
      </c>
    </row>
    <row r="34">
      <c r="A34" s="141" t="s">
        <v>3082</v>
      </c>
      <c r="B34" s="142" t="s">
        <v>2188</v>
      </c>
      <c r="C34" s="142" t="s">
        <v>3083</v>
      </c>
      <c r="D34" s="142" t="s">
        <v>3084</v>
      </c>
      <c r="E34" s="145" t="s">
        <v>224</v>
      </c>
      <c r="F34" s="145" t="s">
        <v>67</v>
      </c>
      <c r="G34" s="145" t="s">
        <v>2964</v>
      </c>
    </row>
    <row r="35">
      <c r="A35" s="141" t="s">
        <v>3114</v>
      </c>
      <c r="B35" s="212" t="s">
        <v>2188</v>
      </c>
      <c r="C35" s="212" t="s">
        <v>3106</v>
      </c>
      <c r="D35" s="212" t="s">
        <v>3115</v>
      </c>
      <c r="E35" s="145" t="s">
        <v>224</v>
      </c>
      <c r="F35" s="145" t="s">
        <v>67</v>
      </c>
      <c r="G35" s="145" t="s">
        <v>2964</v>
      </c>
    </row>
  </sheetData>
  <mergeCells count="1">
    <mergeCell ref="B1:D1"/>
  </mergeCells>
  <dataValidations>
    <dataValidation type="list" allowBlank="1" showErrorMessage="1" sqref="E3:E35">
      <formula1>"CONTRATADO,DESISTIO,EN AGENCIA,PERSONAL DRE"</formula1>
    </dataValidation>
    <dataValidation type="list" allowBlank="1" showErrorMessage="1" sqref="F3:F35">
      <formula1>"SI,NO,DRE"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5"/>
  </cols>
  <sheetData>
    <row r="1">
      <c r="A1" s="233" t="s">
        <v>6</v>
      </c>
      <c r="B1" s="234"/>
      <c r="C1" s="234"/>
      <c r="D1" s="234"/>
    </row>
    <row r="2">
      <c r="A2" s="235" t="s">
        <v>36</v>
      </c>
      <c r="B2" s="236" t="s">
        <v>3120</v>
      </c>
      <c r="C2" s="235" t="s">
        <v>3121</v>
      </c>
      <c r="D2" s="235" t="s">
        <v>3122</v>
      </c>
    </row>
    <row r="3">
      <c r="A3" s="237" t="s">
        <v>3123</v>
      </c>
      <c r="B3" s="238" t="s">
        <v>3124</v>
      </c>
      <c r="C3" s="239"/>
      <c r="D3" s="240"/>
    </row>
    <row r="4">
      <c r="A4" s="40" t="s">
        <v>379</v>
      </c>
      <c r="B4" s="241" t="s">
        <v>3125</v>
      </c>
      <c r="C4" s="240"/>
      <c r="D4" s="240"/>
    </row>
    <row r="5">
      <c r="A5" s="40" t="s">
        <v>602</v>
      </c>
      <c r="B5" s="241" t="s">
        <v>3126</v>
      </c>
      <c r="C5" s="240"/>
      <c r="D5" s="240"/>
    </row>
    <row r="6">
      <c r="A6" s="40" t="s">
        <v>793</v>
      </c>
      <c r="B6" s="241" t="s">
        <v>3127</v>
      </c>
      <c r="C6" s="242"/>
      <c r="D6" s="240"/>
    </row>
    <row r="7">
      <c r="A7" s="40" t="s">
        <v>966</v>
      </c>
      <c r="B7" s="241" t="s">
        <v>3128</v>
      </c>
      <c r="C7" s="240"/>
      <c r="D7" s="240"/>
    </row>
    <row r="8">
      <c r="A8" s="40" t="s">
        <v>1184</v>
      </c>
      <c r="B8" s="241" t="s">
        <v>3129</v>
      </c>
      <c r="C8" s="240"/>
      <c r="D8" s="240"/>
    </row>
    <row r="9">
      <c r="A9" s="159" t="s">
        <v>1396</v>
      </c>
      <c r="B9" s="243" t="s">
        <v>3130</v>
      </c>
      <c r="C9" s="240"/>
      <c r="D9" s="240"/>
    </row>
    <row r="10">
      <c r="A10" s="40" t="s">
        <v>1583</v>
      </c>
      <c r="B10" s="241" t="s">
        <v>3131</v>
      </c>
      <c r="C10" s="240"/>
      <c r="D10" s="240"/>
    </row>
    <row r="11">
      <c r="A11" s="40" t="s">
        <v>1796</v>
      </c>
      <c r="B11" s="241" t="s">
        <v>3132</v>
      </c>
      <c r="C11" s="240"/>
      <c r="D11" s="240"/>
    </row>
    <row r="12">
      <c r="A12" s="40" t="s">
        <v>1973</v>
      </c>
      <c r="B12" s="241" t="s">
        <v>3133</v>
      </c>
      <c r="C12" s="240"/>
      <c r="D12" s="240"/>
    </row>
    <row r="13">
      <c r="A13" s="40" t="s">
        <v>2157</v>
      </c>
      <c r="B13" s="244" t="s">
        <v>3134</v>
      </c>
      <c r="C13" s="240"/>
      <c r="D13" s="240"/>
    </row>
    <row r="14">
      <c r="A14" s="40" t="s">
        <v>2356</v>
      </c>
      <c r="B14" s="241" t="s">
        <v>3135</v>
      </c>
      <c r="C14" s="240"/>
      <c r="D14" s="240"/>
    </row>
    <row r="15">
      <c r="A15" s="40" t="s">
        <v>2554</v>
      </c>
      <c r="B15" s="241" t="s">
        <v>3136</v>
      </c>
      <c r="C15" s="240"/>
      <c r="D15" s="240"/>
    </row>
    <row r="16">
      <c r="A16" s="40" t="s">
        <v>2774</v>
      </c>
      <c r="B16" s="241" t="s">
        <v>3137</v>
      </c>
      <c r="C16" s="240"/>
      <c r="D16" s="240"/>
    </row>
    <row r="17">
      <c r="A17" s="40" t="s">
        <v>2964</v>
      </c>
      <c r="B17" s="241" t="s">
        <v>3138</v>
      </c>
      <c r="C17" s="240"/>
      <c r="D17" s="240"/>
    </row>
  </sheetData>
  <mergeCells count="1">
    <mergeCell ref="A1:D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7" max="7" width="26.13"/>
    <col customWidth="1" min="12" max="13" width="20.38"/>
  </cols>
  <sheetData>
    <row r="1">
      <c r="A1" s="2" t="s">
        <v>3118</v>
      </c>
      <c r="B1" s="3"/>
      <c r="C1" s="3"/>
      <c r="D1" s="3"/>
      <c r="E1" s="3"/>
      <c r="F1" s="4"/>
      <c r="G1" s="5" t="s">
        <v>3139</v>
      </c>
      <c r="H1" s="3"/>
      <c r="I1" s="3"/>
      <c r="J1" s="4"/>
      <c r="K1" s="245" t="s">
        <v>3140</v>
      </c>
      <c r="L1" s="3"/>
      <c r="M1" s="4"/>
      <c r="N1" s="246" t="s">
        <v>1</v>
      </c>
    </row>
    <row r="2">
      <c r="A2" s="18" t="s">
        <v>3141</v>
      </c>
      <c r="B2" s="18" t="s">
        <v>3142</v>
      </c>
      <c r="C2" s="18" t="s">
        <v>11</v>
      </c>
      <c r="D2" s="18" t="s">
        <v>12</v>
      </c>
      <c r="E2" s="18" t="s">
        <v>13</v>
      </c>
      <c r="F2" s="19" t="s">
        <v>14</v>
      </c>
      <c r="G2" s="20" t="s">
        <v>15</v>
      </c>
      <c r="H2" s="21" t="s">
        <v>16</v>
      </c>
      <c r="I2" s="22" t="s">
        <v>17</v>
      </c>
      <c r="J2" s="22" t="s">
        <v>3120</v>
      </c>
      <c r="K2" s="247" t="s">
        <v>3143</v>
      </c>
      <c r="L2" s="247" t="s">
        <v>3144</v>
      </c>
      <c r="M2" s="247" t="s">
        <v>3145</v>
      </c>
      <c r="N2" s="23" t="s">
        <v>20</v>
      </c>
    </row>
    <row r="3">
      <c r="A3" s="58">
        <v>1.0</v>
      </c>
      <c r="B3" s="58" t="s">
        <v>3146</v>
      </c>
      <c r="C3" s="58" t="s">
        <v>196</v>
      </c>
      <c r="D3" s="58" t="s">
        <v>58</v>
      </c>
      <c r="E3" s="58" t="s">
        <v>137</v>
      </c>
      <c r="F3" s="58" t="s">
        <v>197</v>
      </c>
      <c r="G3" s="58" t="s">
        <v>198</v>
      </c>
      <c r="H3" s="58" t="s">
        <v>199</v>
      </c>
      <c r="I3" s="58">
        <v>9.76545516E8</v>
      </c>
      <c r="J3" s="58" t="s">
        <v>3147</v>
      </c>
      <c r="K3" s="58" t="s">
        <v>3148</v>
      </c>
      <c r="L3" s="58" t="s">
        <v>3148</v>
      </c>
      <c r="M3" s="58">
        <v>1977.0</v>
      </c>
      <c r="N3" s="58" t="s">
        <v>149</v>
      </c>
    </row>
    <row r="4">
      <c r="A4" s="58">
        <v>2.0</v>
      </c>
      <c r="B4" s="58" t="s">
        <v>3146</v>
      </c>
      <c r="C4" s="58" t="s">
        <v>206</v>
      </c>
      <c r="D4" s="58" t="s">
        <v>58</v>
      </c>
      <c r="E4" s="58" t="s">
        <v>107</v>
      </c>
      <c r="F4" s="58" t="s">
        <v>207</v>
      </c>
      <c r="G4" s="58" t="s">
        <v>3149</v>
      </c>
      <c r="H4" s="58" t="s">
        <v>3150</v>
      </c>
      <c r="I4" s="58" t="s">
        <v>3151</v>
      </c>
      <c r="J4" s="58" t="s">
        <v>3152</v>
      </c>
      <c r="K4" s="58" t="s">
        <v>3153</v>
      </c>
      <c r="L4" s="58" t="s">
        <v>3153</v>
      </c>
      <c r="M4" s="58">
        <v>253.0</v>
      </c>
      <c r="N4" s="58" t="s">
        <v>149</v>
      </c>
    </row>
    <row r="5">
      <c r="A5" s="58">
        <v>3.0</v>
      </c>
      <c r="B5" s="58" t="s">
        <v>3154</v>
      </c>
      <c r="C5" s="58" t="s">
        <v>354</v>
      </c>
      <c r="D5" s="58" t="s">
        <v>319</v>
      </c>
      <c r="E5" s="58" t="s">
        <v>320</v>
      </c>
      <c r="F5" s="58" t="s">
        <v>355</v>
      </c>
      <c r="G5" s="58" t="s">
        <v>356</v>
      </c>
      <c r="H5" s="58" t="s">
        <v>357</v>
      </c>
      <c r="I5" s="58">
        <v>9.97795341E8</v>
      </c>
      <c r="J5" s="58" t="s">
        <v>3155</v>
      </c>
      <c r="K5" s="58" t="s">
        <v>328</v>
      </c>
      <c r="L5" s="58" t="s">
        <v>328</v>
      </c>
      <c r="M5" s="58">
        <v>19.0</v>
      </c>
      <c r="N5" s="58" t="s">
        <v>149</v>
      </c>
    </row>
    <row r="6">
      <c r="A6" s="58">
        <v>4.0</v>
      </c>
      <c r="B6" s="58" t="s">
        <v>3156</v>
      </c>
      <c r="C6" s="58" t="s">
        <v>595</v>
      </c>
      <c r="D6" s="58" t="s">
        <v>573</v>
      </c>
      <c r="E6" s="58" t="s">
        <v>596</v>
      </c>
      <c r="F6" s="58" t="s">
        <v>597</v>
      </c>
      <c r="G6" s="58" t="s">
        <v>590</v>
      </c>
      <c r="H6" s="58" t="s">
        <v>598</v>
      </c>
      <c r="I6" s="58">
        <v>9.8369484E8</v>
      </c>
      <c r="J6" s="58" t="s">
        <v>3157</v>
      </c>
      <c r="K6" s="58" t="s">
        <v>589</v>
      </c>
      <c r="L6" s="58" t="s">
        <v>589</v>
      </c>
      <c r="M6" s="58">
        <v>279.0</v>
      </c>
      <c r="N6" s="58" t="s">
        <v>149</v>
      </c>
    </row>
    <row r="7">
      <c r="A7" s="58">
        <v>5.0</v>
      </c>
      <c r="B7" s="58" t="s">
        <v>3158</v>
      </c>
      <c r="C7" s="58" t="s">
        <v>934</v>
      </c>
      <c r="D7" s="58" t="s">
        <v>872</v>
      </c>
      <c r="E7" s="58" t="s">
        <v>879</v>
      </c>
      <c r="F7" s="58" t="s">
        <v>935</v>
      </c>
      <c r="G7" s="58" t="s">
        <v>936</v>
      </c>
      <c r="H7" s="58" t="s">
        <v>937</v>
      </c>
      <c r="I7" s="58">
        <v>9.88809915E8</v>
      </c>
      <c r="J7" s="58" t="s">
        <v>3159</v>
      </c>
      <c r="K7" s="58" t="s">
        <v>3160</v>
      </c>
      <c r="L7" s="58" t="s">
        <v>3160</v>
      </c>
      <c r="M7" s="58">
        <v>90.0</v>
      </c>
      <c r="N7" s="58" t="s">
        <v>149</v>
      </c>
    </row>
    <row r="8">
      <c r="A8" s="58">
        <v>5.0</v>
      </c>
      <c r="B8" s="58" t="s">
        <v>3158</v>
      </c>
      <c r="C8" s="58" t="s">
        <v>934</v>
      </c>
      <c r="D8" s="58" t="s">
        <v>872</v>
      </c>
      <c r="E8" s="58" t="s">
        <v>879</v>
      </c>
      <c r="F8" s="58" t="s">
        <v>935</v>
      </c>
      <c r="G8" s="58" t="s">
        <v>3161</v>
      </c>
      <c r="H8" s="58">
        <v>2.2316631E7</v>
      </c>
      <c r="I8" s="58">
        <v>9.95150354E8</v>
      </c>
      <c r="J8" s="58" t="s">
        <v>3162</v>
      </c>
      <c r="K8" s="58" t="s">
        <v>3160</v>
      </c>
      <c r="L8" s="58" t="s">
        <v>3160</v>
      </c>
      <c r="M8" s="58">
        <v>90.0</v>
      </c>
      <c r="N8" s="58" t="s">
        <v>149</v>
      </c>
    </row>
    <row r="9">
      <c r="A9" s="58">
        <v>6.0</v>
      </c>
      <c r="B9" s="58" t="s">
        <v>3156</v>
      </c>
      <c r="C9" s="58" t="s">
        <v>1279</v>
      </c>
      <c r="D9" s="58" t="s">
        <v>1141</v>
      </c>
      <c r="E9" s="58" t="s">
        <v>1195</v>
      </c>
      <c r="F9" s="58" t="s">
        <v>1280</v>
      </c>
      <c r="G9" s="58" t="s">
        <v>3163</v>
      </c>
      <c r="H9" s="58" t="s">
        <v>3164</v>
      </c>
      <c r="I9" s="58">
        <v>9.74717721E8</v>
      </c>
      <c r="J9" s="58" t="s">
        <v>3165</v>
      </c>
      <c r="K9" s="58" t="s">
        <v>3166</v>
      </c>
      <c r="L9" s="58" t="s">
        <v>3166</v>
      </c>
      <c r="M9" s="58">
        <v>1014.0</v>
      </c>
      <c r="N9" s="58" t="s">
        <v>149</v>
      </c>
    </row>
    <row r="10">
      <c r="A10" s="58">
        <v>7.0</v>
      </c>
      <c r="B10" s="58" t="s">
        <v>3167</v>
      </c>
      <c r="C10" s="58" t="s">
        <v>1331</v>
      </c>
      <c r="D10" s="58" t="s">
        <v>1332</v>
      </c>
      <c r="E10" s="58" t="s">
        <v>1333</v>
      </c>
      <c r="F10" s="58" t="s">
        <v>1334</v>
      </c>
      <c r="G10" s="58" t="s">
        <v>3168</v>
      </c>
      <c r="H10" s="58">
        <v>2.1866601E7</v>
      </c>
      <c r="I10" s="58">
        <v>9.28953231E8</v>
      </c>
      <c r="J10" s="58" t="s">
        <v>3169</v>
      </c>
      <c r="K10" s="58" t="s">
        <v>3170</v>
      </c>
      <c r="L10" s="58" t="s">
        <v>3171</v>
      </c>
      <c r="M10" s="58">
        <v>114.0</v>
      </c>
      <c r="N10" s="58" t="s">
        <v>149</v>
      </c>
    </row>
    <row r="11">
      <c r="A11" s="58">
        <v>8.0</v>
      </c>
      <c r="B11" s="58" t="s">
        <v>3172</v>
      </c>
      <c r="C11" s="58" t="s">
        <v>1482</v>
      </c>
      <c r="D11" s="58" t="s">
        <v>1483</v>
      </c>
      <c r="E11" s="58" t="s">
        <v>1484</v>
      </c>
      <c r="F11" s="58" t="s">
        <v>1363</v>
      </c>
      <c r="G11" s="58" t="s">
        <v>1485</v>
      </c>
      <c r="H11" s="58" t="s">
        <v>1486</v>
      </c>
      <c r="I11" s="58">
        <v>9.69539519E8</v>
      </c>
      <c r="J11" s="58" t="s">
        <v>3173</v>
      </c>
      <c r="K11" s="58" t="s">
        <v>1488</v>
      </c>
      <c r="L11" s="58" t="s">
        <v>1488</v>
      </c>
      <c r="M11" s="58">
        <v>145.0</v>
      </c>
      <c r="N11" s="58" t="s">
        <v>149</v>
      </c>
    </row>
    <row r="12">
      <c r="A12" s="58">
        <v>9.0</v>
      </c>
      <c r="B12" s="58" t="s">
        <v>3174</v>
      </c>
      <c r="C12" s="58" t="s">
        <v>1844</v>
      </c>
      <c r="D12" s="58" t="s">
        <v>1788</v>
      </c>
      <c r="E12" s="58" t="s">
        <v>1798</v>
      </c>
      <c r="F12" s="58" t="s">
        <v>1845</v>
      </c>
      <c r="G12" s="58" t="s">
        <v>1846</v>
      </c>
      <c r="H12" s="58" t="s">
        <v>1847</v>
      </c>
      <c r="I12" s="58">
        <v>9.47714378E8</v>
      </c>
      <c r="J12" s="58" t="s">
        <v>3175</v>
      </c>
      <c r="K12" s="58" t="s">
        <v>1803</v>
      </c>
      <c r="L12" s="58" t="s">
        <v>1803</v>
      </c>
      <c r="M12" s="58">
        <v>160.0</v>
      </c>
      <c r="N12" s="58" t="s">
        <v>149</v>
      </c>
    </row>
    <row r="13">
      <c r="A13" s="58">
        <v>10.0</v>
      </c>
      <c r="B13" s="58" t="s">
        <v>3154</v>
      </c>
      <c r="C13" s="58" t="s">
        <v>1883</v>
      </c>
      <c r="D13" s="58" t="s">
        <v>1865</v>
      </c>
      <c r="E13" s="58" t="s">
        <v>1873</v>
      </c>
      <c r="F13" s="58" t="s">
        <v>1884</v>
      </c>
      <c r="G13" s="58" t="s">
        <v>3176</v>
      </c>
      <c r="H13" s="58" t="s">
        <v>3177</v>
      </c>
      <c r="I13" s="58">
        <v>9.56336253E8</v>
      </c>
      <c r="J13" s="58" t="s">
        <v>3178</v>
      </c>
      <c r="K13" s="58" t="s">
        <v>1878</v>
      </c>
      <c r="L13" s="58" t="s">
        <v>1878</v>
      </c>
      <c r="M13" s="58">
        <v>54.0</v>
      </c>
      <c r="N13" s="58" t="s">
        <v>149</v>
      </c>
    </row>
    <row r="14">
      <c r="A14" s="58">
        <v>11.0</v>
      </c>
      <c r="B14" s="58" t="s">
        <v>3154</v>
      </c>
      <c r="C14" s="58" t="s">
        <v>1901</v>
      </c>
      <c r="D14" s="58" t="s">
        <v>1865</v>
      </c>
      <c r="E14" s="58" t="s">
        <v>1902</v>
      </c>
      <c r="F14" s="58" t="s">
        <v>1903</v>
      </c>
      <c r="G14" s="58" t="s">
        <v>3179</v>
      </c>
      <c r="H14" s="58" t="s">
        <v>3180</v>
      </c>
      <c r="I14" s="58">
        <v>9.35909133E8</v>
      </c>
      <c r="J14" s="58" t="s">
        <v>3181</v>
      </c>
      <c r="K14" s="58" t="s">
        <v>1871</v>
      </c>
      <c r="L14" s="58" t="s">
        <v>3182</v>
      </c>
      <c r="M14" s="58">
        <v>39.0</v>
      </c>
      <c r="N14" s="58" t="s">
        <v>149</v>
      </c>
    </row>
    <row r="15">
      <c r="A15" s="58">
        <v>12.0</v>
      </c>
      <c r="B15" s="58" t="s">
        <v>3183</v>
      </c>
      <c r="C15" s="58" t="s">
        <v>2432</v>
      </c>
      <c r="D15" s="58" t="s">
        <v>2126</v>
      </c>
      <c r="E15" s="58" t="s">
        <v>2126</v>
      </c>
      <c r="F15" s="58" t="s">
        <v>2433</v>
      </c>
      <c r="G15" s="58" t="s">
        <v>2434</v>
      </c>
      <c r="H15" s="58" t="s">
        <v>2435</v>
      </c>
      <c r="I15" s="58">
        <v>9.65257601E8</v>
      </c>
      <c r="J15" s="58" t="s">
        <v>3184</v>
      </c>
      <c r="K15" s="58" t="s">
        <v>3185</v>
      </c>
      <c r="L15" s="58" t="s">
        <v>3185</v>
      </c>
      <c r="M15" s="58">
        <v>618.0</v>
      </c>
      <c r="N15" s="58" t="s">
        <v>149</v>
      </c>
    </row>
    <row r="16">
      <c r="A16" s="58">
        <v>13.0</v>
      </c>
      <c r="B16" s="58" t="s">
        <v>3156</v>
      </c>
      <c r="C16" s="58" t="s">
        <v>2503</v>
      </c>
      <c r="D16" s="58" t="s">
        <v>2492</v>
      </c>
      <c r="E16" s="58" t="s">
        <v>2504</v>
      </c>
      <c r="F16" s="58" t="s">
        <v>2505</v>
      </c>
      <c r="G16" s="58" t="s">
        <v>3186</v>
      </c>
      <c r="H16" s="58" t="s">
        <v>3187</v>
      </c>
      <c r="I16" s="58">
        <v>9.27521497E8</v>
      </c>
      <c r="J16" s="58" t="s">
        <v>3188</v>
      </c>
      <c r="K16" s="58" t="s">
        <v>2507</v>
      </c>
      <c r="L16" s="58" t="s">
        <v>2507</v>
      </c>
      <c r="M16" s="58">
        <v>968.0</v>
      </c>
      <c r="N16" s="58" t="s">
        <v>149</v>
      </c>
    </row>
    <row r="17">
      <c r="A17" s="58">
        <v>14.0</v>
      </c>
      <c r="B17" s="58" t="s">
        <v>3189</v>
      </c>
      <c r="C17" s="58" t="s">
        <v>2614</v>
      </c>
      <c r="D17" s="58" t="s">
        <v>2589</v>
      </c>
      <c r="E17" s="58" t="s">
        <v>2589</v>
      </c>
      <c r="F17" s="58" t="s">
        <v>1156</v>
      </c>
      <c r="G17" s="58" t="s">
        <v>3190</v>
      </c>
      <c r="H17" s="58" t="s">
        <v>3191</v>
      </c>
      <c r="I17" s="58">
        <v>9.31627966E8</v>
      </c>
      <c r="J17" s="58" t="s">
        <v>3192</v>
      </c>
      <c r="K17" s="58" t="s">
        <v>2594</v>
      </c>
      <c r="L17" s="58" t="s">
        <v>3193</v>
      </c>
      <c r="M17" s="58">
        <v>925.0</v>
      </c>
      <c r="N17" s="58" t="s">
        <v>149</v>
      </c>
    </row>
    <row r="18">
      <c r="A18" s="58">
        <v>15.0</v>
      </c>
      <c r="B18" s="58" t="s">
        <v>3158</v>
      </c>
      <c r="C18" s="58" t="s">
        <v>1571</v>
      </c>
      <c r="D18" s="58" t="s">
        <v>1572</v>
      </c>
      <c r="E18" s="58" t="s">
        <v>1573</v>
      </c>
      <c r="F18" s="58" t="s">
        <v>1574</v>
      </c>
      <c r="G18" s="58" t="s">
        <v>3194</v>
      </c>
      <c r="H18" s="58" t="s">
        <v>3195</v>
      </c>
      <c r="I18" s="58">
        <v>9.35184139E8</v>
      </c>
      <c r="J18" s="58"/>
      <c r="K18" s="58" t="s">
        <v>3196</v>
      </c>
      <c r="L18" s="58" t="s">
        <v>3196</v>
      </c>
      <c r="M18" s="58">
        <v>394.0</v>
      </c>
      <c r="N18" s="58" t="s">
        <v>149</v>
      </c>
    </row>
    <row r="19">
      <c r="A19" s="58">
        <v>16.0</v>
      </c>
      <c r="B19" s="58" t="s">
        <v>3197</v>
      </c>
      <c r="C19" s="58" t="s">
        <v>2708</v>
      </c>
      <c r="D19" s="58" t="s">
        <v>2677</v>
      </c>
      <c r="E19" s="58" t="s">
        <v>2709</v>
      </c>
      <c r="F19" s="58" t="s">
        <v>2710</v>
      </c>
      <c r="G19" s="58" t="s">
        <v>3198</v>
      </c>
      <c r="H19" s="58">
        <v>1861837.0</v>
      </c>
      <c r="I19" s="58">
        <v>9.76518204E8</v>
      </c>
      <c r="J19" s="58" t="s">
        <v>3199</v>
      </c>
      <c r="K19" s="58" t="s">
        <v>3200</v>
      </c>
      <c r="L19" s="58" t="s">
        <v>3200</v>
      </c>
      <c r="M19" s="58">
        <v>67.0</v>
      </c>
      <c r="N19" s="58" t="s">
        <v>149</v>
      </c>
    </row>
    <row r="20">
      <c r="A20" s="58">
        <v>17.0</v>
      </c>
      <c r="B20" s="58" t="s">
        <v>3154</v>
      </c>
      <c r="C20" s="58" t="s">
        <v>2112</v>
      </c>
      <c r="D20" s="58" t="s">
        <v>1865</v>
      </c>
      <c r="E20" s="58" t="s">
        <v>1873</v>
      </c>
      <c r="F20" s="58" t="s">
        <v>2113</v>
      </c>
      <c r="G20" s="58" t="s">
        <v>3176</v>
      </c>
      <c r="H20" s="58" t="s">
        <v>3177</v>
      </c>
      <c r="I20" s="58">
        <v>9.56336253E8</v>
      </c>
      <c r="J20" s="58" t="s">
        <v>3178</v>
      </c>
      <c r="K20" s="58" t="s">
        <v>1878</v>
      </c>
      <c r="L20" s="58" t="s">
        <v>1878</v>
      </c>
      <c r="M20" s="58">
        <v>74.0</v>
      </c>
      <c r="N20" s="58" t="s">
        <v>149</v>
      </c>
    </row>
    <row r="21">
      <c r="A21" s="58">
        <v>18.0</v>
      </c>
      <c r="B21" s="58" t="s">
        <v>3201</v>
      </c>
      <c r="C21" s="58" t="s">
        <v>3114</v>
      </c>
      <c r="D21" s="58" t="s">
        <v>2188</v>
      </c>
      <c r="E21" s="58" t="s">
        <v>3106</v>
      </c>
      <c r="F21" s="58" t="s">
        <v>3115</v>
      </c>
      <c r="G21" s="57"/>
      <c r="H21" s="57"/>
      <c r="I21" s="57"/>
      <c r="J21" s="57"/>
      <c r="K21" s="58" t="s">
        <v>1497</v>
      </c>
      <c r="L21" s="57" t="s">
        <v>3202</v>
      </c>
      <c r="M21" s="58">
        <v>145.0</v>
      </c>
      <c r="N21" s="40" t="s">
        <v>149</v>
      </c>
    </row>
  </sheetData>
  <autoFilter ref="$A$1:$F$1"/>
  <mergeCells count="3">
    <mergeCell ref="A1:F1"/>
    <mergeCell ref="G1:J1"/>
    <mergeCell ref="K1:M1"/>
  </mergeCells>
  <dataValidations>
    <dataValidation type="list" allowBlank="1" showErrorMessage="1" sqref="N3:N21">
      <formula1>"CONTRATADO,DESISTIO,EN AGENCIA,PERSONAL DRE"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2.0"/>
    <col customWidth="1" min="4" max="4" width="21.0"/>
  </cols>
  <sheetData>
    <row r="1">
      <c r="A1" s="2" t="s">
        <v>12</v>
      </c>
      <c r="B1" s="248" t="s">
        <v>13</v>
      </c>
      <c r="C1" s="249" t="s">
        <v>14</v>
      </c>
      <c r="D1" s="249" t="s">
        <v>3203</v>
      </c>
      <c r="E1" s="249" t="s">
        <v>3204</v>
      </c>
      <c r="F1" s="249" t="s">
        <v>3205</v>
      </c>
    </row>
    <row r="2">
      <c r="A2" s="250" t="s">
        <v>58</v>
      </c>
      <c r="B2" s="250" t="s">
        <v>156</v>
      </c>
      <c r="C2" s="250" t="s">
        <v>157</v>
      </c>
      <c r="D2" s="250">
        <v>1.0</v>
      </c>
      <c r="E2" s="251">
        <f t="array" ref="E2">COUNTA(UNIQUE(C:C))</f>
        <v>383</v>
      </c>
      <c r="F2" s="251">
        <f>SUM(D2:D390)</f>
        <v>478</v>
      </c>
    </row>
    <row r="3">
      <c r="A3" s="250" t="s">
        <v>58</v>
      </c>
      <c r="B3" s="250" t="s">
        <v>269</v>
      </c>
      <c r="C3" s="250" t="s">
        <v>270</v>
      </c>
      <c r="D3" s="250">
        <v>1.0</v>
      </c>
    </row>
    <row r="4">
      <c r="A4" s="250" t="s">
        <v>58</v>
      </c>
      <c r="B4" s="250" t="s">
        <v>269</v>
      </c>
      <c r="C4" s="250" t="s">
        <v>289</v>
      </c>
      <c r="D4" s="250">
        <v>1.0</v>
      </c>
    </row>
    <row r="5">
      <c r="A5" s="250" t="s">
        <v>58</v>
      </c>
      <c r="B5" s="250" t="s">
        <v>59</v>
      </c>
      <c r="C5" s="250" t="s">
        <v>60</v>
      </c>
      <c r="D5" s="250">
        <v>1.0</v>
      </c>
    </row>
    <row r="6">
      <c r="A6" s="250" t="s">
        <v>58</v>
      </c>
      <c r="B6" s="250" t="s">
        <v>59</v>
      </c>
      <c r="C6" s="250" t="s">
        <v>78</v>
      </c>
      <c r="D6" s="250">
        <v>1.0</v>
      </c>
    </row>
    <row r="7">
      <c r="A7" s="250" t="s">
        <v>58</v>
      </c>
      <c r="B7" s="250" t="s">
        <v>59</v>
      </c>
      <c r="C7" s="250" t="s">
        <v>88</v>
      </c>
      <c r="D7" s="250">
        <v>1.0</v>
      </c>
    </row>
    <row r="8">
      <c r="A8" s="250" t="s">
        <v>58</v>
      </c>
      <c r="B8" s="250" t="s">
        <v>59</v>
      </c>
      <c r="C8" s="250" t="s">
        <v>98</v>
      </c>
      <c r="D8" s="250">
        <v>1.0</v>
      </c>
    </row>
    <row r="9">
      <c r="A9" s="250" t="s">
        <v>58</v>
      </c>
      <c r="B9" s="250" t="s">
        <v>59</v>
      </c>
      <c r="C9" s="250" t="s">
        <v>168</v>
      </c>
      <c r="D9" s="250">
        <v>1.0</v>
      </c>
    </row>
    <row r="10">
      <c r="A10" s="250" t="s">
        <v>58</v>
      </c>
      <c r="B10" s="250" t="s">
        <v>59</v>
      </c>
      <c r="C10" s="250" t="s">
        <v>177</v>
      </c>
      <c r="D10" s="250">
        <v>1.0</v>
      </c>
    </row>
    <row r="11">
      <c r="A11" s="250" t="s">
        <v>58</v>
      </c>
      <c r="B11" s="250" t="s">
        <v>59</v>
      </c>
      <c r="C11" s="250" t="s">
        <v>221</v>
      </c>
      <c r="D11" s="250">
        <v>1.0</v>
      </c>
    </row>
    <row r="12">
      <c r="A12" s="250" t="s">
        <v>58</v>
      </c>
      <c r="B12" s="250" t="s">
        <v>59</v>
      </c>
      <c r="C12" s="250" t="s">
        <v>259</v>
      </c>
      <c r="D12" s="250">
        <v>1.0</v>
      </c>
    </row>
    <row r="13">
      <c r="A13" s="250" t="s">
        <v>58</v>
      </c>
      <c r="B13" s="250" t="s">
        <v>137</v>
      </c>
      <c r="C13" s="250" t="s">
        <v>138</v>
      </c>
      <c r="D13" s="250">
        <v>2.0</v>
      </c>
    </row>
    <row r="14">
      <c r="A14" s="250" t="s">
        <v>58</v>
      </c>
      <c r="B14" s="250" t="s">
        <v>137</v>
      </c>
      <c r="C14" s="250" t="s">
        <v>248</v>
      </c>
      <c r="D14" s="250">
        <v>1.0</v>
      </c>
    </row>
    <row r="15">
      <c r="A15" s="250" t="s">
        <v>58</v>
      </c>
      <c r="B15" s="250" t="s">
        <v>107</v>
      </c>
      <c r="C15" s="250" t="s">
        <v>108</v>
      </c>
      <c r="D15" s="250">
        <v>1.0</v>
      </c>
    </row>
    <row r="16">
      <c r="A16" s="250" t="s">
        <v>58</v>
      </c>
      <c r="B16" s="250" t="s">
        <v>107</v>
      </c>
      <c r="C16" s="250" t="s">
        <v>117</v>
      </c>
      <c r="D16" s="250">
        <v>1.0</v>
      </c>
    </row>
    <row r="17">
      <c r="A17" s="250" t="s">
        <v>58</v>
      </c>
      <c r="B17" s="250" t="s">
        <v>107</v>
      </c>
      <c r="C17" s="250" t="s">
        <v>127</v>
      </c>
      <c r="D17" s="250">
        <v>1.0</v>
      </c>
    </row>
    <row r="18">
      <c r="A18" s="250" t="s">
        <v>58</v>
      </c>
      <c r="B18" s="250" t="s">
        <v>107</v>
      </c>
      <c r="C18" s="250" t="s">
        <v>212</v>
      </c>
      <c r="D18" s="250">
        <v>1.0</v>
      </c>
    </row>
    <row r="19">
      <c r="A19" s="250" t="s">
        <v>58</v>
      </c>
      <c r="B19" s="250" t="s">
        <v>107</v>
      </c>
      <c r="C19" s="250" t="s">
        <v>239</v>
      </c>
      <c r="D19" s="250">
        <v>1.0</v>
      </c>
    </row>
    <row r="20">
      <c r="A20" s="250" t="s">
        <v>58</v>
      </c>
      <c r="B20" s="250" t="s">
        <v>186</v>
      </c>
      <c r="C20" s="250" t="s">
        <v>187</v>
      </c>
      <c r="D20" s="250">
        <v>1.0</v>
      </c>
    </row>
    <row r="21">
      <c r="A21" s="250" t="s">
        <v>58</v>
      </c>
      <c r="B21" s="250" t="s">
        <v>186</v>
      </c>
      <c r="C21" s="250" t="s">
        <v>229</v>
      </c>
      <c r="D21" s="250">
        <v>1.0</v>
      </c>
    </row>
    <row r="22">
      <c r="A22" s="250" t="s">
        <v>58</v>
      </c>
      <c r="B22" s="250" t="s">
        <v>186</v>
      </c>
      <c r="C22" s="250" t="s">
        <v>279</v>
      </c>
      <c r="D22" s="250">
        <v>1.0</v>
      </c>
    </row>
    <row r="23">
      <c r="A23" s="250" t="s">
        <v>58</v>
      </c>
      <c r="B23" s="250" t="s">
        <v>186</v>
      </c>
      <c r="C23" s="250" t="s">
        <v>298</v>
      </c>
      <c r="D23" s="250">
        <v>1.0</v>
      </c>
    </row>
    <row r="24">
      <c r="A24" s="250" t="s">
        <v>58</v>
      </c>
      <c r="B24" s="250" t="s">
        <v>308</v>
      </c>
      <c r="C24" s="250" t="s">
        <v>309</v>
      </c>
      <c r="D24" s="250">
        <v>1.0</v>
      </c>
    </row>
    <row r="25">
      <c r="A25" s="250" t="s">
        <v>319</v>
      </c>
      <c r="B25" s="250" t="s">
        <v>415</v>
      </c>
      <c r="C25" s="250" t="s">
        <v>416</v>
      </c>
      <c r="D25" s="250">
        <v>1.0</v>
      </c>
    </row>
    <row r="26">
      <c r="A26" s="250" t="s">
        <v>319</v>
      </c>
      <c r="B26" s="250" t="s">
        <v>560</v>
      </c>
      <c r="C26" s="250" t="s">
        <v>561</v>
      </c>
      <c r="D26" s="250">
        <v>1.0</v>
      </c>
    </row>
    <row r="27">
      <c r="A27" s="250" t="s">
        <v>319</v>
      </c>
      <c r="B27" s="250" t="s">
        <v>402</v>
      </c>
      <c r="C27" s="250" t="s">
        <v>403</v>
      </c>
      <c r="D27" s="250">
        <v>1.0</v>
      </c>
    </row>
    <row r="28">
      <c r="A28" s="250" t="s">
        <v>319</v>
      </c>
      <c r="B28" s="250" t="s">
        <v>402</v>
      </c>
      <c r="C28" s="250" t="s">
        <v>452</v>
      </c>
      <c r="D28" s="250">
        <v>2.0</v>
      </c>
    </row>
    <row r="29">
      <c r="A29" s="250" t="s">
        <v>319</v>
      </c>
      <c r="B29" s="250" t="s">
        <v>402</v>
      </c>
      <c r="C29" s="250" t="s">
        <v>470</v>
      </c>
      <c r="D29" s="250">
        <v>1.0</v>
      </c>
    </row>
    <row r="30">
      <c r="A30" s="250" t="s">
        <v>319</v>
      </c>
      <c r="B30" s="250" t="s">
        <v>402</v>
      </c>
      <c r="C30" s="250" t="s">
        <v>477</v>
      </c>
      <c r="D30" s="250">
        <v>1.0</v>
      </c>
    </row>
    <row r="31">
      <c r="A31" s="250" t="s">
        <v>319</v>
      </c>
      <c r="B31" s="250" t="s">
        <v>402</v>
      </c>
      <c r="C31" s="250" t="s">
        <v>497</v>
      </c>
      <c r="D31" s="250">
        <v>2.0</v>
      </c>
    </row>
    <row r="32">
      <c r="A32" s="250" t="s">
        <v>319</v>
      </c>
      <c r="B32" s="250" t="s">
        <v>402</v>
      </c>
      <c r="C32" s="250" t="s">
        <v>513</v>
      </c>
      <c r="D32" s="250">
        <v>1.0</v>
      </c>
    </row>
    <row r="33">
      <c r="A33" s="250" t="s">
        <v>319</v>
      </c>
      <c r="B33" s="250" t="s">
        <v>332</v>
      </c>
      <c r="C33" s="250" t="s">
        <v>333</v>
      </c>
      <c r="D33" s="250">
        <v>1.0</v>
      </c>
    </row>
    <row r="34">
      <c r="A34" s="250" t="s">
        <v>319</v>
      </c>
      <c r="B34" s="250" t="s">
        <v>332</v>
      </c>
      <c r="C34" s="250" t="s">
        <v>432</v>
      </c>
      <c r="D34" s="250">
        <v>1.0</v>
      </c>
    </row>
    <row r="35">
      <c r="A35" s="250" t="s">
        <v>319</v>
      </c>
      <c r="B35" s="250" t="s">
        <v>463</v>
      </c>
      <c r="C35" s="250" t="s">
        <v>464</v>
      </c>
      <c r="D35" s="250">
        <v>1.0</v>
      </c>
    </row>
    <row r="36">
      <c r="A36" s="250" t="s">
        <v>319</v>
      </c>
      <c r="B36" s="250" t="s">
        <v>542</v>
      </c>
      <c r="C36" s="250" t="s">
        <v>543</v>
      </c>
      <c r="D36" s="250">
        <v>2.0</v>
      </c>
    </row>
    <row r="37">
      <c r="A37" s="250" t="s">
        <v>319</v>
      </c>
      <c r="B37" s="250" t="s">
        <v>386</v>
      </c>
      <c r="C37" s="250" t="s">
        <v>387</v>
      </c>
      <c r="D37" s="250">
        <v>1.0</v>
      </c>
    </row>
    <row r="38">
      <c r="A38" s="250" t="s">
        <v>319</v>
      </c>
      <c r="B38" s="250" t="s">
        <v>386</v>
      </c>
      <c r="C38" s="250" t="s">
        <v>490</v>
      </c>
      <c r="D38" s="250">
        <v>1.0</v>
      </c>
    </row>
    <row r="39">
      <c r="A39" s="250" t="s">
        <v>319</v>
      </c>
      <c r="B39" s="250" t="s">
        <v>438</v>
      </c>
      <c r="C39" s="250" t="s">
        <v>439</v>
      </c>
      <c r="D39" s="250">
        <v>3.0</v>
      </c>
    </row>
    <row r="40">
      <c r="A40" s="250" t="s">
        <v>319</v>
      </c>
      <c r="B40" s="250" t="s">
        <v>320</v>
      </c>
      <c r="C40" s="250" t="s">
        <v>321</v>
      </c>
      <c r="D40" s="250">
        <v>1.0</v>
      </c>
    </row>
    <row r="41">
      <c r="A41" s="250" t="s">
        <v>319</v>
      </c>
      <c r="B41" s="250" t="s">
        <v>320</v>
      </c>
      <c r="C41" s="250" t="s">
        <v>362</v>
      </c>
      <c r="D41" s="250">
        <v>1.0</v>
      </c>
    </row>
    <row r="42">
      <c r="A42" s="250" t="s">
        <v>319</v>
      </c>
      <c r="B42" s="250" t="s">
        <v>320</v>
      </c>
      <c r="C42" s="250" t="s">
        <v>396</v>
      </c>
      <c r="D42" s="250">
        <v>1.0</v>
      </c>
    </row>
    <row r="43">
      <c r="A43" s="250" t="s">
        <v>319</v>
      </c>
      <c r="B43" s="250" t="s">
        <v>320</v>
      </c>
      <c r="C43" s="250" t="s">
        <v>409</v>
      </c>
      <c r="D43" s="250">
        <v>1.0</v>
      </c>
    </row>
    <row r="44">
      <c r="A44" s="250" t="s">
        <v>319</v>
      </c>
      <c r="B44" s="250" t="s">
        <v>320</v>
      </c>
      <c r="C44" s="250" t="s">
        <v>320</v>
      </c>
      <c r="D44" s="250">
        <v>1.0</v>
      </c>
    </row>
    <row r="45">
      <c r="A45" s="250" t="s">
        <v>319</v>
      </c>
      <c r="B45" s="250" t="s">
        <v>320</v>
      </c>
      <c r="C45" s="250" t="s">
        <v>567</v>
      </c>
      <c r="D45" s="250">
        <v>1.0</v>
      </c>
    </row>
    <row r="46">
      <c r="A46" s="250" t="s">
        <v>319</v>
      </c>
      <c r="B46" s="250" t="s">
        <v>483</v>
      </c>
      <c r="C46" s="250" t="s">
        <v>484</v>
      </c>
      <c r="D46" s="250">
        <v>1.0</v>
      </c>
    </row>
    <row r="47">
      <c r="A47" s="250" t="s">
        <v>319</v>
      </c>
      <c r="B47" s="250" t="s">
        <v>483</v>
      </c>
      <c r="C47" s="250" t="s">
        <v>519</v>
      </c>
      <c r="D47" s="250">
        <v>1.0</v>
      </c>
    </row>
    <row r="48">
      <c r="A48" s="250" t="s">
        <v>319</v>
      </c>
      <c r="B48" s="250" t="s">
        <v>369</v>
      </c>
      <c r="C48" s="250" t="s">
        <v>370</v>
      </c>
      <c r="D48" s="250">
        <v>2.0</v>
      </c>
    </row>
    <row r="49">
      <c r="A49" s="250" t="s">
        <v>319</v>
      </c>
      <c r="B49" s="250" t="s">
        <v>369</v>
      </c>
      <c r="C49" s="250" t="s">
        <v>423</v>
      </c>
      <c r="D49" s="250">
        <v>2.0</v>
      </c>
    </row>
    <row r="50">
      <c r="A50" s="250" t="s">
        <v>319</v>
      </c>
      <c r="B50" s="250" t="s">
        <v>369</v>
      </c>
      <c r="C50" s="250" t="s">
        <v>525</v>
      </c>
      <c r="D50" s="250">
        <v>1.0</v>
      </c>
    </row>
    <row r="51">
      <c r="A51" s="250" t="s">
        <v>319</v>
      </c>
      <c r="B51" s="250" t="s">
        <v>345</v>
      </c>
      <c r="C51" s="250" t="s">
        <v>346</v>
      </c>
      <c r="D51" s="250">
        <v>2.0</v>
      </c>
    </row>
    <row r="52">
      <c r="A52" s="250" t="s">
        <v>319</v>
      </c>
      <c r="B52" s="250" t="s">
        <v>531</v>
      </c>
      <c r="C52" s="250" t="s">
        <v>532</v>
      </c>
      <c r="D52" s="250">
        <v>2.0</v>
      </c>
    </row>
    <row r="53">
      <c r="A53" s="250" t="s">
        <v>573</v>
      </c>
      <c r="B53" s="250" t="s">
        <v>596</v>
      </c>
      <c r="C53" s="250" t="s">
        <v>622</v>
      </c>
      <c r="D53" s="250">
        <v>1.0</v>
      </c>
    </row>
    <row r="54">
      <c r="A54" s="250" t="s">
        <v>573</v>
      </c>
      <c r="B54" s="250" t="s">
        <v>653</v>
      </c>
      <c r="C54" s="250" t="s">
        <v>654</v>
      </c>
      <c r="D54" s="250">
        <v>1.0</v>
      </c>
    </row>
    <row r="55">
      <c r="A55" s="250" t="s">
        <v>573</v>
      </c>
      <c r="B55" s="250" t="s">
        <v>627</v>
      </c>
      <c r="C55" s="250" t="s">
        <v>628</v>
      </c>
      <c r="D55" s="250">
        <v>1.0</v>
      </c>
    </row>
    <row r="56">
      <c r="A56" s="250" t="s">
        <v>573</v>
      </c>
      <c r="B56" s="250" t="s">
        <v>627</v>
      </c>
      <c r="C56" s="250" t="s">
        <v>633</v>
      </c>
      <c r="D56" s="250">
        <v>1.0</v>
      </c>
    </row>
    <row r="57">
      <c r="A57" s="250" t="s">
        <v>573</v>
      </c>
      <c r="B57" s="250" t="s">
        <v>627</v>
      </c>
      <c r="C57" s="250" t="s">
        <v>643</v>
      </c>
      <c r="D57" s="250">
        <v>1.0</v>
      </c>
    </row>
    <row r="58">
      <c r="A58" s="250" t="s">
        <v>573</v>
      </c>
      <c r="B58" s="250" t="s">
        <v>627</v>
      </c>
      <c r="C58" s="250" t="s">
        <v>648</v>
      </c>
      <c r="D58" s="250">
        <v>1.0</v>
      </c>
    </row>
    <row r="59">
      <c r="A59" s="250" t="s">
        <v>573</v>
      </c>
      <c r="B59" s="250" t="s">
        <v>627</v>
      </c>
      <c r="C59" s="250" t="s">
        <v>662</v>
      </c>
      <c r="D59" s="250">
        <v>1.0</v>
      </c>
    </row>
    <row r="60">
      <c r="A60" s="250" t="s">
        <v>573</v>
      </c>
      <c r="B60" s="250" t="s">
        <v>584</v>
      </c>
      <c r="C60" s="250" t="s">
        <v>585</v>
      </c>
      <c r="D60" s="250">
        <v>2.0</v>
      </c>
    </row>
    <row r="61">
      <c r="A61" s="250" t="s">
        <v>573</v>
      </c>
      <c r="B61" s="250" t="s">
        <v>584</v>
      </c>
      <c r="C61" s="250" t="s">
        <v>604</v>
      </c>
      <c r="D61" s="250">
        <v>1.0</v>
      </c>
    </row>
    <row r="62">
      <c r="A62" s="250" t="s">
        <v>573</v>
      </c>
      <c r="B62" s="250" t="s">
        <v>584</v>
      </c>
      <c r="C62" s="250" t="s">
        <v>668</v>
      </c>
      <c r="D62" s="250">
        <v>1.0</v>
      </c>
    </row>
    <row r="63">
      <c r="A63" s="250" t="s">
        <v>573</v>
      </c>
      <c r="B63" s="250" t="s">
        <v>574</v>
      </c>
      <c r="C63" s="250" t="s">
        <v>575</v>
      </c>
      <c r="D63" s="250">
        <v>1.0</v>
      </c>
    </row>
    <row r="64">
      <c r="A64" s="250" t="s">
        <v>573</v>
      </c>
      <c r="B64" s="250" t="s">
        <v>610</v>
      </c>
      <c r="C64" s="250" t="s">
        <v>611</v>
      </c>
      <c r="D64" s="250">
        <v>1.0</v>
      </c>
    </row>
    <row r="65">
      <c r="A65" s="250" t="s">
        <v>573</v>
      </c>
      <c r="B65" s="250" t="s">
        <v>610</v>
      </c>
      <c r="C65" s="250" t="s">
        <v>616</v>
      </c>
      <c r="D65" s="250">
        <v>1.0</v>
      </c>
    </row>
    <row r="66">
      <c r="A66" s="250" t="s">
        <v>573</v>
      </c>
      <c r="B66" s="250" t="s">
        <v>610</v>
      </c>
      <c r="C66" s="250" t="s">
        <v>638</v>
      </c>
      <c r="D66" s="250">
        <v>1.0</v>
      </c>
    </row>
    <row r="67">
      <c r="A67" s="250" t="s">
        <v>573</v>
      </c>
      <c r="B67" s="250" t="s">
        <v>610</v>
      </c>
      <c r="C67" s="250" t="s">
        <v>673</v>
      </c>
      <c r="D67" s="250">
        <v>1.0</v>
      </c>
    </row>
    <row r="68">
      <c r="A68" s="250" t="s">
        <v>679</v>
      </c>
      <c r="B68" s="250" t="s">
        <v>679</v>
      </c>
      <c r="C68" s="250" t="s">
        <v>789</v>
      </c>
      <c r="D68" s="250">
        <v>2.0</v>
      </c>
    </row>
    <row r="69">
      <c r="A69" s="250" t="s">
        <v>679</v>
      </c>
      <c r="B69" s="250" t="s">
        <v>679</v>
      </c>
      <c r="C69" s="250" t="s">
        <v>818</v>
      </c>
      <c r="D69" s="250">
        <v>1.0</v>
      </c>
    </row>
    <row r="70">
      <c r="A70" s="250" t="s">
        <v>679</v>
      </c>
      <c r="B70" s="250" t="s">
        <v>679</v>
      </c>
      <c r="C70" s="250" t="s">
        <v>823</v>
      </c>
      <c r="D70" s="250">
        <v>1.0</v>
      </c>
    </row>
    <row r="71">
      <c r="A71" s="250" t="s">
        <v>679</v>
      </c>
      <c r="B71" s="250" t="s">
        <v>783</v>
      </c>
      <c r="C71" s="250" t="s">
        <v>784</v>
      </c>
      <c r="D71" s="250">
        <v>1.0</v>
      </c>
    </row>
    <row r="72">
      <c r="A72" s="250" t="s">
        <v>679</v>
      </c>
      <c r="B72" s="250" t="s">
        <v>697</v>
      </c>
      <c r="C72" s="250" t="s">
        <v>698</v>
      </c>
      <c r="D72" s="250">
        <v>1.0</v>
      </c>
    </row>
    <row r="73">
      <c r="A73" s="250" t="s">
        <v>679</v>
      </c>
      <c r="B73" s="250" t="s">
        <v>697</v>
      </c>
      <c r="C73" s="250" t="s">
        <v>747</v>
      </c>
      <c r="D73" s="250">
        <v>1.0</v>
      </c>
    </row>
    <row r="74">
      <c r="A74" s="250" t="s">
        <v>679</v>
      </c>
      <c r="B74" s="250" t="s">
        <v>697</v>
      </c>
      <c r="C74" s="250" t="s">
        <v>763</v>
      </c>
      <c r="D74" s="250">
        <v>1.0</v>
      </c>
    </row>
    <row r="75">
      <c r="A75" s="250" t="s">
        <v>679</v>
      </c>
      <c r="B75" s="250" t="s">
        <v>697</v>
      </c>
      <c r="C75" s="250" t="s">
        <v>808</v>
      </c>
      <c r="D75" s="250">
        <v>1.0</v>
      </c>
    </row>
    <row r="76">
      <c r="A76" s="250" t="s">
        <v>679</v>
      </c>
      <c r="B76" s="250" t="s">
        <v>690</v>
      </c>
      <c r="C76" s="250" t="s">
        <v>691</v>
      </c>
      <c r="D76" s="250">
        <v>1.0</v>
      </c>
    </row>
    <row r="77">
      <c r="A77" s="250" t="s">
        <v>679</v>
      </c>
      <c r="B77" s="250" t="s">
        <v>690</v>
      </c>
      <c r="C77" s="250" t="s">
        <v>719</v>
      </c>
      <c r="D77" s="250">
        <v>1.0</v>
      </c>
    </row>
    <row r="78">
      <c r="A78" s="250" t="s">
        <v>679</v>
      </c>
      <c r="B78" s="250" t="s">
        <v>690</v>
      </c>
      <c r="C78" s="250" t="s">
        <v>737</v>
      </c>
      <c r="D78" s="250">
        <v>1.0</v>
      </c>
    </row>
    <row r="79">
      <c r="A79" s="250" t="s">
        <v>679</v>
      </c>
      <c r="B79" s="250" t="s">
        <v>680</v>
      </c>
      <c r="C79" s="250" t="s">
        <v>681</v>
      </c>
      <c r="D79" s="250">
        <v>1.0</v>
      </c>
    </row>
    <row r="80">
      <c r="A80" s="250" t="s">
        <v>679</v>
      </c>
      <c r="B80" s="250" t="s">
        <v>680</v>
      </c>
      <c r="C80" s="250" t="s">
        <v>703</v>
      </c>
      <c r="D80" s="250">
        <v>1.0</v>
      </c>
    </row>
    <row r="81">
      <c r="A81" s="250" t="s">
        <v>679</v>
      </c>
      <c r="B81" s="250" t="s">
        <v>680</v>
      </c>
      <c r="C81" s="250" t="s">
        <v>708</v>
      </c>
      <c r="D81" s="250">
        <v>1.0</v>
      </c>
    </row>
    <row r="82">
      <c r="A82" s="250" t="s">
        <v>679</v>
      </c>
      <c r="B82" s="250" t="s">
        <v>680</v>
      </c>
      <c r="C82" s="250" t="s">
        <v>680</v>
      </c>
      <c r="D82" s="250">
        <v>1.0</v>
      </c>
    </row>
    <row r="83">
      <c r="A83" s="250" t="s">
        <v>679</v>
      </c>
      <c r="B83" s="250" t="s">
        <v>680</v>
      </c>
      <c r="C83" s="250" t="s">
        <v>742</v>
      </c>
      <c r="D83" s="250">
        <v>1.0</v>
      </c>
    </row>
    <row r="84">
      <c r="A84" s="250" t="s">
        <v>679</v>
      </c>
      <c r="B84" s="250" t="s">
        <v>680</v>
      </c>
      <c r="C84" s="250" t="s">
        <v>758</v>
      </c>
      <c r="D84" s="250">
        <v>1.0</v>
      </c>
    </row>
    <row r="85">
      <c r="A85" s="250" t="s">
        <v>679</v>
      </c>
      <c r="B85" s="250" t="s">
        <v>680</v>
      </c>
      <c r="C85" s="250" t="s">
        <v>768</v>
      </c>
      <c r="D85" s="250">
        <v>1.0</v>
      </c>
    </row>
    <row r="86">
      <c r="A86" s="250" t="s">
        <v>679</v>
      </c>
      <c r="B86" s="250" t="s">
        <v>680</v>
      </c>
      <c r="C86" s="250" t="s">
        <v>773</v>
      </c>
      <c r="D86" s="250">
        <v>1.0</v>
      </c>
    </row>
    <row r="87">
      <c r="A87" s="250" t="s">
        <v>679</v>
      </c>
      <c r="B87" s="250" t="s">
        <v>680</v>
      </c>
      <c r="C87" s="250" t="s">
        <v>778</v>
      </c>
      <c r="D87" s="250">
        <v>1.0</v>
      </c>
    </row>
    <row r="88">
      <c r="A88" s="250" t="s">
        <v>679</v>
      </c>
      <c r="B88" s="250" t="s">
        <v>680</v>
      </c>
      <c r="C88" s="250" t="s">
        <v>834</v>
      </c>
      <c r="D88" s="250">
        <v>1.0</v>
      </c>
    </row>
    <row r="89">
      <c r="A89" s="250" t="s">
        <v>679</v>
      </c>
      <c r="B89" s="250" t="s">
        <v>680</v>
      </c>
      <c r="C89" s="250" t="s">
        <v>841</v>
      </c>
      <c r="D89" s="250">
        <v>1.0</v>
      </c>
    </row>
    <row r="90">
      <c r="A90" s="250" t="s">
        <v>679</v>
      </c>
      <c r="B90" s="250" t="s">
        <v>680</v>
      </c>
      <c r="C90" s="250" t="s">
        <v>851</v>
      </c>
      <c r="D90" s="250">
        <v>1.0</v>
      </c>
    </row>
    <row r="91">
      <c r="A91" s="250" t="s">
        <v>679</v>
      </c>
      <c r="B91" s="250" t="s">
        <v>680</v>
      </c>
      <c r="C91" s="250" t="s">
        <v>856</v>
      </c>
      <c r="D91" s="250">
        <v>1.0</v>
      </c>
    </row>
    <row r="92">
      <c r="A92" s="250" t="s">
        <v>679</v>
      </c>
      <c r="B92" s="250" t="s">
        <v>680</v>
      </c>
      <c r="C92" s="250" t="s">
        <v>866</v>
      </c>
      <c r="D92" s="250">
        <v>1.0</v>
      </c>
    </row>
    <row r="93">
      <c r="A93" s="250" t="s">
        <v>679</v>
      </c>
      <c r="B93" s="250" t="s">
        <v>731</v>
      </c>
      <c r="C93" s="250" t="s">
        <v>732</v>
      </c>
      <c r="D93" s="250">
        <v>1.0</v>
      </c>
    </row>
    <row r="94">
      <c r="A94" s="250" t="s">
        <v>679</v>
      </c>
      <c r="B94" s="250" t="s">
        <v>731</v>
      </c>
      <c r="C94" s="250" t="s">
        <v>813</v>
      </c>
      <c r="D94" s="250">
        <v>1.0</v>
      </c>
    </row>
    <row r="95">
      <c r="A95" s="250" t="s">
        <v>679</v>
      </c>
      <c r="B95" s="250" t="s">
        <v>731</v>
      </c>
      <c r="C95" s="250" t="s">
        <v>861</v>
      </c>
      <c r="D95" s="250">
        <v>1.0</v>
      </c>
    </row>
    <row r="96">
      <c r="A96" s="250" t="s">
        <v>679</v>
      </c>
      <c r="B96" s="250" t="s">
        <v>725</v>
      </c>
      <c r="C96" s="250" t="s">
        <v>726</v>
      </c>
      <c r="D96" s="250">
        <v>1.0</v>
      </c>
    </row>
    <row r="97">
      <c r="A97" s="250" t="s">
        <v>679</v>
      </c>
      <c r="B97" s="250" t="s">
        <v>725</v>
      </c>
      <c r="C97" s="250" t="s">
        <v>752</v>
      </c>
      <c r="D97" s="250">
        <v>1.0</v>
      </c>
    </row>
    <row r="98">
      <c r="A98" s="250" t="s">
        <v>679</v>
      </c>
      <c r="B98" s="250" t="s">
        <v>725</v>
      </c>
      <c r="C98" s="250" t="s">
        <v>798</v>
      </c>
      <c r="D98" s="250">
        <v>1.0</v>
      </c>
    </row>
    <row r="99">
      <c r="A99" s="250" t="s">
        <v>679</v>
      </c>
      <c r="B99" s="250" t="s">
        <v>725</v>
      </c>
      <c r="C99" s="250" t="s">
        <v>803</v>
      </c>
      <c r="D99" s="250">
        <v>1.0</v>
      </c>
    </row>
    <row r="100">
      <c r="A100" s="250" t="s">
        <v>679</v>
      </c>
      <c r="B100" s="250" t="s">
        <v>725</v>
      </c>
      <c r="C100" s="250" t="s">
        <v>829</v>
      </c>
      <c r="D100" s="250">
        <v>1.0</v>
      </c>
    </row>
    <row r="101">
      <c r="A101" s="250" t="s">
        <v>679</v>
      </c>
      <c r="B101" s="250" t="s">
        <v>725</v>
      </c>
      <c r="C101" s="250" t="s">
        <v>846</v>
      </c>
      <c r="D101" s="250">
        <v>1.0</v>
      </c>
    </row>
    <row r="102">
      <c r="A102" s="250" t="s">
        <v>872</v>
      </c>
      <c r="B102" s="250" t="s">
        <v>888</v>
      </c>
      <c r="C102" s="250" t="s">
        <v>889</v>
      </c>
      <c r="D102" s="250">
        <v>1.0</v>
      </c>
    </row>
    <row r="103">
      <c r="A103" s="250" t="s">
        <v>872</v>
      </c>
      <c r="B103" s="250" t="s">
        <v>888</v>
      </c>
      <c r="C103" s="250" t="s">
        <v>999</v>
      </c>
      <c r="D103" s="250">
        <v>1.0</v>
      </c>
    </row>
    <row r="104">
      <c r="A104" s="250" t="s">
        <v>872</v>
      </c>
      <c r="B104" s="250" t="s">
        <v>888</v>
      </c>
      <c r="C104" s="250" t="s">
        <v>1025</v>
      </c>
      <c r="D104" s="250">
        <v>1.0</v>
      </c>
    </row>
    <row r="105">
      <c r="A105" s="250" t="s">
        <v>872</v>
      </c>
      <c r="B105" s="250" t="s">
        <v>888</v>
      </c>
      <c r="C105" s="250" t="s">
        <v>1045</v>
      </c>
      <c r="D105" s="250">
        <v>1.0</v>
      </c>
    </row>
    <row r="106">
      <c r="A106" s="250" t="s">
        <v>872</v>
      </c>
      <c r="B106" s="250" t="s">
        <v>973</v>
      </c>
      <c r="C106" s="250" t="s">
        <v>974</v>
      </c>
      <c r="D106" s="250">
        <v>1.0</v>
      </c>
    </row>
    <row r="107">
      <c r="A107" s="250" t="s">
        <v>872</v>
      </c>
      <c r="B107" s="250" t="s">
        <v>973</v>
      </c>
      <c r="C107" s="250" t="s">
        <v>987</v>
      </c>
      <c r="D107" s="250">
        <v>2.0</v>
      </c>
    </row>
    <row r="108">
      <c r="A108" s="250" t="s">
        <v>872</v>
      </c>
      <c r="B108" s="250" t="s">
        <v>955</v>
      </c>
      <c r="C108" s="250" t="s">
        <v>956</v>
      </c>
      <c r="D108" s="250">
        <v>1.0</v>
      </c>
    </row>
    <row r="109">
      <c r="A109" s="250" t="s">
        <v>872</v>
      </c>
      <c r="B109" s="250" t="s">
        <v>879</v>
      </c>
      <c r="C109" s="250" t="s">
        <v>880</v>
      </c>
      <c r="D109" s="250">
        <v>1.0</v>
      </c>
    </row>
    <row r="110">
      <c r="A110" s="250" t="s">
        <v>872</v>
      </c>
      <c r="B110" s="250" t="s">
        <v>879</v>
      </c>
      <c r="C110" s="250" t="s">
        <v>895</v>
      </c>
      <c r="D110" s="250">
        <v>1.0</v>
      </c>
    </row>
    <row r="111">
      <c r="A111" s="250" t="s">
        <v>872</v>
      </c>
      <c r="B111" s="250" t="s">
        <v>879</v>
      </c>
      <c r="C111" s="250" t="s">
        <v>927</v>
      </c>
      <c r="D111" s="250">
        <v>2.0</v>
      </c>
    </row>
    <row r="112">
      <c r="A112" s="250" t="s">
        <v>872</v>
      </c>
      <c r="B112" s="250" t="s">
        <v>879</v>
      </c>
      <c r="C112" s="250" t="s">
        <v>941</v>
      </c>
      <c r="D112" s="250">
        <v>1.0</v>
      </c>
    </row>
    <row r="113">
      <c r="A113" s="250" t="s">
        <v>872</v>
      </c>
      <c r="B113" s="250" t="s">
        <v>879</v>
      </c>
      <c r="C113" s="250" t="s">
        <v>879</v>
      </c>
      <c r="D113" s="250">
        <v>1.0</v>
      </c>
    </row>
    <row r="114">
      <c r="A114" s="250" t="s">
        <v>872</v>
      </c>
      <c r="B114" s="250" t="s">
        <v>879</v>
      </c>
      <c r="C114" s="250" t="s">
        <v>950</v>
      </c>
      <c r="D114" s="250">
        <v>1.0</v>
      </c>
    </row>
    <row r="115">
      <c r="A115" s="250" t="s">
        <v>872</v>
      </c>
      <c r="B115" s="250" t="s">
        <v>879</v>
      </c>
      <c r="C115" s="250" t="s">
        <v>1006</v>
      </c>
      <c r="D115" s="250">
        <v>1.0</v>
      </c>
    </row>
    <row r="116">
      <c r="A116" s="250" t="s">
        <v>872</v>
      </c>
      <c r="B116" s="250" t="s">
        <v>879</v>
      </c>
      <c r="C116" s="250" t="s">
        <v>1019</v>
      </c>
      <c r="D116" s="250">
        <v>1.0</v>
      </c>
    </row>
    <row r="117">
      <c r="A117" s="250" t="s">
        <v>872</v>
      </c>
      <c r="B117" s="250" t="s">
        <v>879</v>
      </c>
      <c r="C117" s="250" t="s">
        <v>1025</v>
      </c>
      <c r="D117" s="250">
        <v>1.0</v>
      </c>
    </row>
    <row r="118">
      <c r="A118" s="250" t="s">
        <v>872</v>
      </c>
      <c r="B118" s="250" t="s">
        <v>879</v>
      </c>
      <c r="C118" s="250" t="s">
        <v>1038</v>
      </c>
      <c r="D118" s="250">
        <v>1.0</v>
      </c>
    </row>
    <row r="119">
      <c r="A119" s="250" t="s">
        <v>872</v>
      </c>
      <c r="B119" s="250" t="s">
        <v>906</v>
      </c>
      <c r="C119" s="250" t="s">
        <v>907</v>
      </c>
      <c r="D119" s="250">
        <v>1.0</v>
      </c>
    </row>
    <row r="120">
      <c r="A120" s="250" t="s">
        <v>872</v>
      </c>
      <c r="B120" s="250" t="s">
        <v>906</v>
      </c>
      <c r="C120" s="250" t="s">
        <v>980</v>
      </c>
      <c r="D120" s="250">
        <v>1.0</v>
      </c>
    </row>
    <row r="121">
      <c r="A121" s="250" t="s">
        <v>872</v>
      </c>
      <c r="B121" s="250" t="s">
        <v>906</v>
      </c>
      <c r="C121" s="250" t="s">
        <v>1058</v>
      </c>
      <c r="D121" s="250">
        <v>2.0</v>
      </c>
    </row>
    <row r="122">
      <c r="A122" s="250" t="s">
        <v>872</v>
      </c>
      <c r="B122" s="250" t="s">
        <v>961</v>
      </c>
      <c r="C122" s="250" t="s">
        <v>962</v>
      </c>
      <c r="D122" s="250">
        <v>2.0</v>
      </c>
    </row>
    <row r="123">
      <c r="A123" s="250" t="s">
        <v>872</v>
      </c>
      <c r="B123" s="250" t="s">
        <v>912</v>
      </c>
      <c r="C123" s="250" t="s">
        <v>913</v>
      </c>
      <c r="D123" s="250">
        <v>1.0</v>
      </c>
    </row>
    <row r="124">
      <c r="A124" s="250" t="s">
        <v>872</v>
      </c>
      <c r="B124" s="250" t="s">
        <v>912</v>
      </c>
      <c r="C124" s="250" t="s">
        <v>1012</v>
      </c>
      <c r="D124" s="250">
        <v>1.0</v>
      </c>
    </row>
    <row r="125">
      <c r="A125" s="250" t="s">
        <v>872</v>
      </c>
      <c r="B125" s="250" t="s">
        <v>912</v>
      </c>
      <c r="C125" s="250" t="s">
        <v>1051</v>
      </c>
      <c r="D125" s="250">
        <v>1.0</v>
      </c>
    </row>
    <row r="126">
      <c r="A126" s="250" t="s">
        <v>872</v>
      </c>
      <c r="B126" s="250" t="s">
        <v>873</v>
      </c>
      <c r="C126" s="250" t="s">
        <v>874</v>
      </c>
      <c r="D126" s="250">
        <v>1.0</v>
      </c>
    </row>
    <row r="127">
      <c r="A127" s="250" t="s">
        <v>872</v>
      </c>
      <c r="B127" s="250" t="s">
        <v>873</v>
      </c>
      <c r="C127" s="250" t="s">
        <v>919</v>
      </c>
      <c r="D127" s="250">
        <v>2.0</v>
      </c>
    </row>
    <row r="128">
      <c r="A128" s="250" t="s">
        <v>872</v>
      </c>
      <c r="B128" s="250" t="s">
        <v>873</v>
      </c>
      <c r="C128" s="250" t="s">
        <v>1067</v>
      </c>
      <c r="D128" s="250">
        <v>1.0</v>
      </c>
    </row>
    <row r="129">
      <c r="A129" s="250" t="s">
        <v>872</v>
      </c>
      <c r="B129" s="250" t="s">
        <v>900</v>
      </c>
      <c r="C129" s="250" t="s">
        <v>901</v>
      </c>
      <c r="D129" s="250">
        <v>1.0</v>
      </c>
    </row>
    <row r="130">
      <c r="A130" s="250" t="s">
        <v>1073</v>
      </c>
      <c r="B130" s="250" t="s">
        <v>1134</v>
      </c>
      <c r="C130" s="250" t="s">
        <v>1135</v>
      </c>
      <c r="D130" s="250">
        <v>1.0</v>
      </c>
    </row>
    <row r="131">
      <c r="A131" s="250" t="s">
        <v>1073</v>
      </c>
      <c r="B131" s="250" t="s">
        <v>1094</v>
      </c>
      <c r="C131" s="250" t="s">
        <v>1095</v>
      </c>
      <c r="D131" s="250">
        <v>1.0</v>
      </c>
    </row>
    <row r="132">
      <c r="A132" s="250" t="s">
        <v>1073</v>
      </c>
      <c r="B132" s="250" t="s">
        <v>1094</v>
      </c>
      <c r="C132" s="250" t="s">
        <v>1109</v>
      </c>
      <c r="D132" s="250">
        <v>1.0</v>
      </c>
    </row>
    <row r="133">
      <c r="A133" s="250" t="s">
        <v>1073</v>
      </c>
      <c r="B133" s="250" t="s">
        <v>1074</v>
      </c>
      <c r="C133" s="250" t="s">
        <v>1075</v>
      </c>
      <c r="D133" s="250">
        <v>1.0</v>
      </c>
    </row>
    <row r="134">
      <c r="A134" s="250" t="s">
        <v>1073</v>
      </c>
      <c r="B134" s="250" t="s">
        <v>1074</v>
      </c>
      <c r="C134" s="250" t="s">
        <v>1083</v>
      </c>
      <c r="D134" s="250">
        <v>2.0</v>
      </c>
    </row>
    <row r="135">
      <c r="A135" s="250" t="s">
        <v>1073</v>
      </c>
      <c r="B135" s="250" t="s">
        <v>1074</v>
      </c>
      <c r="C135" s="250" t="s">
        <v>1103</v>
      </c>
      <c r="D135" s="250">
        <v>1.0</v>
      </c>
    </row>
    <row r="136">
      <c r="A136" s="250" t="s">
        <v>1073</v>
      </c>
      <c r="B136" s="250" t="s">
        <v>1074</v>
      </c>
      <c r="C136" s="250" t="s">
        <v>1124</v>
      </c>
      <c r="D136" s="250">
        <v>2.0</v>
      </c>
    </row>
    <row r="137">
      <c r="A137" s="250" t="s">
        <v>1073</v>
      </c>
      <c r="B137" s="250" t="s">
        <v>1118</v>
      </c>
      <c r="C137" s="250" t="s">
        <v>1119</v>
      </c>
      <c r="D137" s="250">
        <v>1.0</v>
      </c>
    </row>
    <row r="138">
      <c r="A138" s="250" t="s">
        <v>1141</v>
      </c>
      <c r="B138" s="250" t="s">
        <v>1294</v>
      </c>
      <c r="C138" s="250" t="s">
        <v>1295</v>
      </c>
      <c r="D138" s="250">
        <v>2.0</v>
      </c>
    </row>
    <row r="139">
      <c r="A139" s="250" t="s">
        <v>1141</v>
      </c>
      <c r="B139" s="250" t="s">
        <v>1223</v>
      </c>
      <c r="C139" s="250" t="s">
        <v>1224</v>
      </c>
      <c r="D139" s="250">
        <v>1.0</v>
      </c>
    </row>
    <row r="140">
      <c r="A140" s="250" t="s">
        <v>1141</v>
      </c>
      <c r="B140" s="250" t="s">
        <v>1223</v>
      </c>
      <c r="C140" s="250" t="s">
        <v>1318</v>
      </c>
      <c r="D140" s="250">
        <v>1.0</v>
      </c>
    </row>
    <row r="141">
      <c r="A141" s="250" t="s">
        <v>1141</v>
      </c>
      <c r="B141" s="250" t="s">
        <v>1163</v>
      </c>
      <c r="C141" s="250" t="s">
        <v>1164</v>
      </c>
      <c r="D141" s="250">
        <v>1.0</v>
      </c>
    </row>
    <row r="142">
      <c r="A142" s="250" t="s">
        <v>1141</v>
      </c>
      <c r="B142" s="250" t="s">
        <v>1163</v>
      </c>
      <c r="C142" s="250" t="s">
        <v>1170</v>
      </c>
      <c r="D142" s="250">
        <v>1.0</v>
      </c>
    </row>
    <row r="143">
      <c r="A143" s="250" t="s">
        <v>1141</v>
      </c>
      <c r="B143" s="250" t="s">
        <v>1163</v>
      </c>
      <c r="C143" s="250" t="s">
        <v>1269</v>
      </c>
      <c r="D143" s="250">
        <v>2.0</v>
      </c>
    </row>
    <row r="144">
      <c r="A144" s="250" t="s">
        <v>1141</v>
      </c>
      <c r="B144" s="250" t="s">
        <v>1163</v>
      </c>
      <c r="C144" s="250" t="s">
        <v>1118</v>
      </c>
      <c r="D144" s="250">
        <v>1.0</v>
      </c>
    </row>
    <row r="145">
      <c r="A145" s="250" t="s">
        <v>1141</v>
      </c>
      <c r="B145" s="250" t="s">
        <v>1284</v>
      </c>
      <c r="C145" s="250" t="s">
        <v>1285</v>
      </c>
      <c r="D145" s="250">
        <v>1.0</v>
      </c>
    </row>
    <row r="146">
      <c r="A146" s="250" t="s">
        <v>1141</v>
      </c>
      <c r="B146" s="250" t="s">
        <v>1177</v>
      </c>
      <c r="C146" s="250" t="s">
        <v>1178</v>
      </c>
      <c r="D146" s="250">
        <v>1.0</v>
      </c>
    </row>
    <row r="147">
      <c r="A147" s="250" t="s">
        <v>1141</v>
      </c>
      <c r="B147" s="250" t="s">
        <v>1177</v>
      </c>
      <c r="C147" s="250" t="s">
        <v>1186</v>
      </c>
      <c r="D147" s="250">
        <v>1.0</v>
      </c>
    </row>
    <row r="148">
      <c r="A148" s="250" t="s">
        <v>1141</v>
      </c>
      <c r="B148" s="250" t="s">
        <v>1177</v>
      </c>
      <c r="C148" s="250" t="s">
        <v>1255</v>
      </c>
      <c r="D148" s="250">
        <v>1.0</v>
      </c>
    </row>
    <row r="149">
      <c r="A149" s="250" t="s">
        <v>1141</v>
      </c>
      <c r="B149" s="250" t="s">
        <v>1177</v>
      </c>
      <c r="C149" s="250" t="s">
        <v>1262</v>
      </c>
      <c r="D149" s="250">
        <v>1.0</v>
      </c>
    </row>
    <row r="150">
      <c r="A150" s="250" t="s">
        <v>1141</v>
      </c>
      <c r="B150" s="250" t="s">
        <v>1177</v>
      </c>
      <c r="C150" s="250" t="s">
        <v>1312</v>
      </c>
      <c r="D150" s="250">
        <v>1.0</v>
      </c>
    </row>
    <row r="151">
      <c r="A151" s="250" t="s">
        <v>1141</v>
      </c>
      <c r="B151" s="250" t="s">
        <v>1195</v>
      </c>
      <c r="C151" s="250" t="s">
        <v>1196</v>
      </c>
      <c r="D151" s="250">
        <v>2.0</v>
      </c>
    </row>
    <row r="152">
      <c r="A152" s="250" t="s">
        <v>1141</v>
      </c>
      <c r="B152" s="250" t="s">
        <v>1195</v>
      </c>
      <c r="C152" s="250" t="s">
        <v>1211</v>
      </c>
      <c r="D152" s="250">
        <v>2.0</v>
      </c>
    </row>
    <row r="153">
      <c r="A153" s="250" t="s">
        <v>1141</v>
      </c>
      <c r="B153" s="250" t="s">
        <v>1195</v>
      </c>
      <c r="C153" s="250" t="s">
        <v>1245</v>
      </c>
      <c r="D153" s="250">
        <v>2.0</v>
      </c>
    </row>
    <row r="154">
      <c r="A154" s="250" t="s">
        <v>1141</v>
      </c>
      <c r="B154" s="250" t="s">
        <v>1324</v>
      </c>
      <c r="C154" s="250" t="s">
        <v>1325</v>
      </c>
      <c r="D154" s="250">
        <v>1.0</v>
      </c>
    </row>
    <row r="155">
      <c r="A155" s="250" t="s">
        <v>1141</v>
      </c>
      <c r="B155" s="250" t="s">
        <v>1156</v>
      </c>
      <c r="C155" s="250" t="s">
        <v>1157</v>
      </c>
      <c r="D155" s="250">
        <v>1.0</v>
      </c>
    </row>
    <row r="156">
      <c r="A156" s="250" t="s">
        <v>1141</v>
      </c>
      <c r="B156" s="250" t="s">
        <v>1142</v>
      </c>
      <c r="C156" s="250" t="s">
        <v>1143</v>
      </c>
      <c r="D156" s="250">
        <v>2.0</v>
      </c>
    </row>
    <row r="157">
      <c r="A157" s="250" t="s">
        <v>1141</v>
      </c>
      <c r="B157" s="250" t="s">
        <v>1142</v>
      </c>
      <c r="C157" s="250" t="s">
        <v>1234</v>
      </c>
      <c r="D157" s="250">
        <v>2.0</v>
      </c>
    </row>
    <row r="158">
      <c r="A158" s="250" t="s">
        <v>1332</v>
      </c>
      <c r="B158" s="250" t="s">
        <v>1333</v>
      </c>
      <c r="C158" s="250" t="s">
        <v>1356</v>
      </c>
      <c r="D158" s="250">
        <v>1.0</v>
      </c>
    </row>
    <row r="159">
      <c r="A159" s="250" t="s">
        <v>1332</v>
      </c>
      <c r="B159" s="250" t="s">
        <v>1333</v>
      </c>
      <c r="C159" s="250" t="s">
        <v>1386</v>
      </c>
      <c r="D159" s="250">
        <v>1.0</v>
      </c>
    </row>
    <row r="160">
      <c r="A160" s="250" t="s">
        <v>1332</v>
      </c>
      <c r="B160" s="250" t="s">
        <v>1333</v>
      </c>
      <c r="C160" s="250" t="s">
        <v>1440</v>
      </c>
      <c r="D160" s="250">
        <v>1.0</v>
      </c>
    </row>
    <row r="161">
      <c r="A161" s="250" t="s">
        <v>1332</v>
      </c>
      <c r="B161" s="250" t="s">
        <v>1333</v>
      </c>
      <c r="C161" s="250" t="s">
        <v>1446</v>
      </c>
      <c r="D161" s="250">
        <v>2.0</v>
      </c>
    </row>
    <row r="162">
      <c r="A162" s="250" t="s">
        <v>1332</v>
      </c>
      <c r="B162" s="250" t="s">
        <v>1332</v>
      </c>
      <c r="C162" s="250" t="s">
        <v>1340</v>
      </c>
      <c r="D162" s="250">
        <v>1.0</v>
      </c>
    </row>
    <row r="163">
      <c r="A163" s="250" t="s">
        <v>1332</v>
      </c>
      <c r="B163" s="250" t="s">
        <v>1332</v>
      </c>
      <c r="C163" s="250" t="s">
        <v>1375</v>
      </c>
      <c r="D163" s="250">
        <v>2.0</v>
      </c>
    </row>
    <row r="164">
      <c r="A164" s="250" t="s">
        <v>1332</v>
      </c>
      <c r="B164" s="250" t="s">
        <v>1332</v>
      </c>
      <c r="C164" s="250" t="s">
        <v>1402</v>
      </c>
      <c r="D164" s="250">
        <v>1.0</v>
      </c>
    </row>
    <row r="165">
      <c r="A165" s="250" t="s">
        <v>1332</v>
      </c>
      <c r="B165" s="250" t="s">
        <v>1332</v>
      </c>
      <c r="C165" s="250" t="s">
        <v>1407</v>
      </c>
      <c r="D165" s="250">
        <v>1.0</v>
      </c>
    </row>
    <row r="166">
      <c r="A166" s="250" t="s">
        <v>1332</v>
      </c>
      <c r="B166" s="250" t="s">
        <v>1332</v>
      </c>
      <c r="C166" s="250" t="s">
        <v>1478</v>
      </c>
      <c r="D166" s="250">
        <v>1.0</v>
      </c>
    </row>
    <row r="167">
      <c r="A167" s="250" t="s">
        <v>1332</v>
      </c>
      <c r="B167" s="250" t="s">
        <v>1348</v>
      </c>
      <c r="C167" s="250" t="s">
        <v>1349</v>
      </c>
      <c r="D167" s="250">
        <v>1.0</v>
      </c>
    </row>
    <row r="168">
      <c r="A168" s="250" t="s">
        <v>1332</v>
      </c>
      <c r="B168" s="250" t="s">
        <v>1348</v>
      </c>
      <c r="C168" s="250" t="s">
        <v>1393</v>
      </c>
      <c r="D168" s="250">
        <v>1.0</v>
      </c>
    </row>
    <row r="169">
      <c r="A169" s="250" t="s">
        <v>1332</v>
      </c>
      <c r="B169" s="250" t="s">
        <v>1348</v>
      </c>
      <c r="C169" s="250" t="s">
        <v>1418</v>
      </c>
      <c r="D169" s="250">
        <v>1.0</v>
      </c>
    </row>
    <row r="170">
      <c r="A170" s="250" t="s">
        <v>1332</v>
      </c>
      <c r="B170" s="250" t="s">
        <v>1348</v>
      </c>
      <c r="C170" s="250" t="s">
        <v>1424</v>
      </c>
      <c r="D170" s="250">
        <v>1.0</v>
      </c>
    </row>
    <row r="171">
      <c r="A171" s="250" t="s">
        <v>1332</v>
      </c>
      <c r="B171" s="250" t="s">
        <v>1348</v>
      </c>
      <c r="C171" s="250" t="s">
        <v>1429</v>
      </c>
      <c r="D171" s="250">
        <v>1.0</v>
      </c>
    </row>
    <row r="172">
      <c r="A172" s="250" t="s">
        <v>1332</v>
      </c>
      <c r="B172" s="250" t="s">
        <v>1348</v>
      </c>
      <c r="C172" s="250" t="s">
        <v>1434</v>
      </c>
      <c r="D172" s="250">
        <v>1.0</v>
      </c>
    </row>
    <row r="173">
      <c r="A173" s="250" t="s">
        <v>1332</v>
      </c>
      <c r="B173" s="250" t="s">
        <v>1348</v>
      </c>
      <c r="C173" s="250" t="s">
        <v>1454</v>
      </c>
      <c r="D173" s="250">
        <v>1.0</v>
      </c>
    </row>
    <row r="174">
      <c r="A174" s="250" t="s">
        <v>1332</v>
      </c>
      <c r="B174" s="250" t="s">
        <v>1348</v>
      </c>
      <c r="C174" s="250" t="s">
        <v>1459</v>
      </c>
      <c r="D174" s="250">
        <v>1.0</v>
      </c>
    </row>
    <row r="175">
      <c r="A175" s="250" t="s">
        <v>1332</v>
      </c>
      <c r="B175" s="250" t="s">
        <v>1348</v>
      </c>
      <c r="C175" s="250" t="s">
        <v>1464</v>
      </c>
      <c r="D175" s="250">
        <v>2.0</v>
      </c>
    </row>
    <row r="176">
      <c r="A176" s="250" t="s">
        <v>1332</v>
      </c>
      <c r="B176" s="250" t="s">
        <v>1362</v>
      </c>
      <c r="C176" s="250" t="s">
        <v>1363</v>
      </c>
      <c r="D176" s="250">
        <v>2.0</v>
      </c>
    </row>
    <row r="177">
      <c r="A177" s="250" t="s">
        <v>1332</v>
      </c>
      <c r="B177" s="250" t="s">
        <v>1362</v>
      </c>
      <c r="C177" s="250" t="s">
        <v>1412</v>
      </c>
      <c r="D177" s="250">
        <v>1.0</v>
      </c>
    </row>
    <row r="178">
      <c r="A178" s="250" t="s">
        <v>1332</v>
      </c>
      <c r="B178" s="250" t="s">
        <v>1362</v>
      </c>
      <c r="C178" s="250" t="s">
        <v>1472</v>
      </c>
      <c r="D178" s="250">
        <v>1.0</v>
      </c>
    </row>
    <row r="179">
      <c r="A179" s="250" t="s">
        <v>1483</v>
      </c>
      <c r="B179" s="250" t="s">
        <v>1500</v>
      </c>
      <c r="C179" s="250" t="s">
        <v>1501</v>
      </c>
      <c r="D179" s="250">
        <v>1.0</v>
      </c>
    </row>
    <row r="180">
      <c r="A180" s="250" t="s">
        <v>1483</v>
      </c>
      <c r="B180" s="250" t="s">
        <v>1500</v>
      </c>
      <c r="C180" s="250" t="s">
        <v>1554</v>
      </c>
      <c r="D180" s="250">
        <v>1.0</v>
      </c>
    </row>
    <row r="181">
      <c r="A181" s="250" t="s">
        <v>1483</v>
      </c>
      <c r="B181" s="250" t="s">
        <v>1508</v>
      </c>
      <c r="C181" s="250" t="s">
        <v>1509</v>
      </c>
      <c r="D181" s="250">
        <v>1.0</v>
      </c>
    </row>
    <row r="182">
      <c r="A182" s="250" t="s">
        <v>1483</v>
      </c>
      <c r="B182" s="250" t="s">
        <v>1508</v>
      </c>
      <c r="C182" s="250" t="s">
        <v>1514</v>
      </c>
      <c r="D182" s="250">
        <v>1.0</v>
      </c>
    </row>
    <row r="183">
      <c r="A183" s="250" t="s">
        <v>1483</v>
      </c>
      <c r="B183" s="250" t="s">
        <v>1508</v>
      </c>
      <c r="C183" s="250" t="s">
        <v>1536</v>
      </c>
      <c r="D183" s="250">
        <v>1.0</v>
      </c>
    </row>
    <row r="184">
      <c r="A184" s="250" t="s">
        <v>1483</v>
      </c>
      <c r="B184" s="250" t="s">
        <v>1523</v>
      </c>
      <c r="C184" s="250" t="s">
        <v>1524</v>
      </c>
      <c r="D184" s="250">
        <v>1.0</v>
      </c>
    </row>
    <row r="185">
      <c r="A185" s="250" t="s">
        <v>1483</v>
      </c>
      <c r="B185" s="250" t="s">
        <v>1529</v>
      </c>
      <c r="C185" s="250" t="s">
        <v>1530</v>
      </c>
      <c r="D185" s="250">
        <v>1.0</v>
      </c>
    </row>
    <row r="186">
      <c r="A186" s="250" t="s">
        <v>1483</v>
      </c>
      <c r="B186" s="250" t="s">
        <v>1529</v>
      </c>
      <c r="C186" s="250" t="s">
        <v>1549</v>
      </c>
      <c r="D186" s="250">
        <v>1.0</v>
      </c>
    </row>
    <row r="187">
      <c r="A187" s="250" t="s">
        <v>1483</v>
      </c>
      <c r="B187" s="250" t="s">
        <v>1541</v>
      </c>
      <c r="C187" s="250" t="s">
        <v>1542</v>
      </c>
      <c r="D187" s="250">
        <v>1.0</v>
      </c>
    </row>
    <row r="188">
      <c r="A188" s="250" t="s">
        <v>1483</v>
      </c>
      <c r="B188" s="250" t="s">
        <v>1492</v>
      </c>
      <c r="C188" s="250" t="s">
        <v>1493</v>
      </c>
      <c r="D188" s="250">
        <v>1.0</v>
      </c>
    </row>
    <row r="189">
      <c r="A189" s="250" t="s">
        <v>1483</v>
      </c>
      <c r="B189" s="250" t="s">
        <v>1492</v>
      </c>
      <c r="C189" s="250" t="s">
        <v>1492</v>
      </c>
      <c r="D189" s="250">
        <v>1.0</v>
      </c>
    </row>
    <row r="190">
      <c r="A190" s="250" t="s">
        <v>1483</v>
      </c>
      <c r="B190" s="250" t="s">
        <v>1492</v>
      </c>
      <c r="C190" s="250" t="s">
        <v>1559</v>
      </c>
      <c r="D190" s="250">
        <v>2.0</v>
      </c>
    </row>
    <row r="191">
      <c r="A191" s="250" t="s">
        <v>1483</v>
      </c>
      <c r="B191" s="250" t="s">
        <v>1492</v>
      </c>
      <c r="C191" s="250" t="s">
        <v>1567</v>
      </c>
      <c r="D191" s="250">
        <v>1.0</v>
      </c>
    </row>
    <row r="192">
      <c r="A192" s="250" t="s">
        <v>1572</v>
      </c>
      <c r="B192" s="250" t="s">
        <v>1573</v>
      </c>
      <c r="C192" s="250" t="s">
        <v>1597</v>
      </c>
      <c r="D192" s="250">
        <v>1.0</v>
      </c>
    </row>
    <row r="193">
      <c r="A193" s="250" t="s">
        <v>1572</v>
      </c>
      <c r="B193" s="250" t="s">
        <v>1572</v>
      </c>
      <c r="C193" s="250" t="s">
        <v>1605</v>
      </c>
      <c r="D193" s="250">
        <v>2.0</v>
      </c>
    </row>
    <row r="194">
      <c r="A194" s="250" t="s">
        <v>1572</v>
      </c>
      <c r="B194" s="250" t="s">
        <v>1585</v>
      </c>
      <c r="C194" s="250" t="s">
        <v>1586</v>
      </c>
      <c r="D194" s="250">
        <v>1.0</v>
      </c>
    </row>
    <row r="195">
      <c r="A195" s="250" t="s">
        <v>1615</v>
      </c>
      <c r="B195" s="250" t="s">
        <v>901</v>
      </c>
      <c r="C195" s="250" t="s">
        <v>1616</v>
      </c>
      <c r="D195" s="250">
        <v>1.0</v>
      </c>
    </row>
    <row r="196">
      <c r="A196" s="250" t="s">
        <v>1615</v>
      </c>
      <c r="B196" s="250" t="s">
        <v>901</v>
      </c>
      <c r="C196" s="250" t="s">
        <v>396</v>
      </c>
      <c r="D196" s="250">
        <v>1.0</v>
      </c>
    </row>
    <row r="197">
      <c r="A197" s="250" t="s">
        <v>1615</v>
      </c>
      <c r="B197" s="250" t="s">
        <v>1633</v>
      </c>
      <c r="C197" s="250" t="s">
        <v>1634</v>
      </c>
      <c r="D197" s="250">
        <v>1.0</v>
      </c>
    </row>
    <row r="198">
      <c r="A198" s="250" t="s">
        <v>1615</v>
      </c>
      <c r="B198" s="250" t="s">
        <v>1633</v>
      </c>
      <c r="C198" s="250" t="s">
        <v>1641</v>
      </c>
      <c r="D198" s="250">
        <v>1.0</v>
      </c>
    </row>
    <row r="199">
      <c r="A199" s="250" t="s">
        <v>1615</v>
      </c>
      <c r="B199" s="250" t="s">
        <v>1633</v>
      </c>
      <c r="C199" s="250" t="s">
        <v>1655</v>
      </c>
      <c r="D199" s="250">
        <v>1.0</v>
      </c>
    </row>
    <row r="200">
      <c r="A200" s="250" t="s">
        <v>1615</v>
      </c>
      <c r="B200" s="250" t="s">
        <v>1633</v>
      </c>
      <c r="C200" s="250" t="s">
        <v>1740</v>
      </c>
      <c r="D200" s="250">
        <v>1.0</v>
      </c>
    </row>
    <row r="201">
      <c r="A201" s="250" t="s">
        <v>1615</v>
      </c>
      <c r="B201" s="250" t="s">
        <v>1625</v>
      </c>
      <c r="C201" s="250" t="s">
        <v>1626</v>
      </c>
      <c r="D201" s="250">
        <v>1.0</v>
      </c>
    </row>
    <row r="202">
      <c r="A202" s="250" t="s">
        <v>1615</v>
      </c>
      <c r="B202" s="250" t="s">
        <v>1625</v>
      </c>
      <c r="C202" s="250" t="s">
        <v>1705</v>
      </c>
      <c r="D202" s="250">
        <v>1.0</v>
      </c>
    </row>
    <row r="203">
      <c r="A203" s="250" t="s">
        <v>1615</v>
      </c>
      <c r="B203" s="250" t="s">
        <v>1625</v>
      </c>
      <c r="C203" s="250" t="s">
        <v>1710</v>
      </c>
      <c r="D203" s="250">
        <v>1.0</v>
      </c>
    </row>
    <row r="204">
      <c r="A204" s="250" t="s">
        <v>1615</v>
      </c>
      <c r="B204" s="250" t="s">
        <v>1625</v>
      </c>
      <c r="C204" s="250" t="s">
        <v>1717</v>
      </c>
      <c r="D204" s="250">
        <v>1.0</v>
      </c>
    </row>
    <row r="205">
      <c r="A205" s="250" t="s">
        <v>1615</v>
      </c>
      <c r="B205" s="250" t="s">
        <v>1625</v>
      </c>
      <c r="C205" s="250" t="s">
        <v>1748</v>
      </c>
      <c r="D205" s="250">
        <v>1.0</v>
      </c>
    </row>
    <row r="206">
      <c r="A206" s="250" t="s">
        <v>1615</v>
      </c>
      <c r="B206" s="250" t="s">
        <v>1625</v>
      </c>
      <c r="C206" s="250" t="s">
        <v>1671</v>
      </c>
      <c r="D206" s="250">
        <v>1.0</v>
      </c>
    </row>
    <row r="207">
      <c r="A207" s="250" t="s">
        <v>1615</v>
      </c>
      <c r="B207" s="250" t="s">
        <v>1615</v>
      </c>
      <c r="C207" s="250" t="s">
        <v>1615</v>
      </c>
      <c r="D207" s="250">
        <v>1.0</v>
      </c>
    </row>
    <row r="208">
      <c r="A208" s="250" t="s">
        <v>1615</v>
      </c>
      <c r="B208" s="250" t="s">
        <v>1615</v>
      </c>
      <c r="C208" s="250" t="s">
        <v>1723</v>
      </c>
      <c r="D208" s="250">
        <v>1.0</v>
      </c>
    </row>
    <row r="209">
      <c r="A209" s="250" t="s">
        <v>1615</v>
      </c>
      <c r="B209" s="250" t="s">
        <v>1615</v>
      </c>
      <c r="C209" s="250" t="s">
        <v>1777</v>
      </c>
      <c r="D209" s="250">
        <v>1.0</v>
      </c>
    </row>
    <row r="210">
      <c r="A210" s="250" t="s">
        <v>1615</v>
      </c>
      <c r="B210" s="250" t="s">
        <v>1734</v>
      </c>
      <c r="C210" s="250" t="s">
        <v>1735</v>
      </c>
      <c r="D210" s="250">
        <v>1.0</v>
      </c>
    </row>
    <row r="211">
      <c r="A211" s="250" t="s">
        <v>1615</v>
      </c>
      <c r="B211" s="250" t="s">
        <v>1661</v>
      </c>
      <c r="C211" s="250" t="s">
        <v>1662</v>
      </c>
      <c r="D211" s="250">
        <v>2.0</v>
      </c>
    </row>
    <row r="212">
      <c r="A212" s="250" t="s">
        <v>1615</v>
      </c>
      <c r="B212" s="250" t="s">
        <v>1661</v>
      </c>
      <c r="C212" s="250" t="s">
        <v>1756</v>
      </c>
      <c r="D212" s="250">
        <v>1.0</v>
      </c>
    </row>
    <row r="213">
      <c r="A213" s="250" t="s">
        <v>1615</v>
      </c>
      <c r="B213" s="250" t="s">
        <v>1671</v>
      </c>
      <c r="C213" s="250" t="s">
        <v>1672</v>
      </c>
      <c r="D213" s="250">
        <v>1.0</v>
      </c>
    </row>
    <row r="214">
      <c r="A214" s="250" t="s">
        <v>1615</v>
      </c>
      <c r="B214" s="250" t="s">
        <v>1671</v>
      </c>
      <c r="C214" s="250" t="s">
        <v>1685</v>
      </c>
      <c r="D214" s="250">
        <v>2.0</v>
      </c>
    </row>
    <row r="215">
      <c r="A215" s="250" t="s">
        <v>1615</v>
      </c>
      <c r="B215" s="250" t="s">
        <v>1671</v>
      </c>
      <c r="C215" s="250" t="s">
        <v>1695</v>
      </c>
      <c r="D215" s="250">
        <v>2.0</v>
      </c>
    </row>
    <row r="216">
      <c r="A216" s="250" t="s">
        <v>1615</v>
      </c>
      <c r="B216" s="250" t="s">
        <v>1671</v>
      </c>
      <c r="C216" s="250" t="s">
        <v>1728</v>
      </c>
      <c r="D216" s="250">
        <v>1.0</v>
      </c>
    </row>
    <row r="217">
      <c r="A217" s="250" t="s">
        <v>1615</v>
      </c>
      <c r="B217" s="250" t="s">
        <v>1671</v>
      </c>
      <c r="C217" s="250" t="s">
        <v>1762</v>
      </c>
      <c r="D217" s="250">
        <v>1.0</v>
      </c>
    </row>
    <row r="218">
      <c r="A218" s="250" t="s">
        <v>1615</v>
      </c>
      <c r="B218" s="250" t="s">
        <v>1671</v>
      </c>
      <c r="C218" s="250" t="s">
        <v>1770</v>
      </c>
      <c r="D218" s="250">
        <v>1.0</v>
      </c>
    </row>
    <row r="219">
      <c r="A219" s="250" t="s">
        <v>1788</v>
      </c>
      <c r="B219" s="250" t="s">
        <v>1798</v>
      </c>
      <c r="C219" s="250" t="s">
        <v>1799</v>
      </c>
      <c r="D219" s="250">
        <v>2.0</v>
      </c>
    </row>
    <row r="220">
      <c r="A220" s="250" t="s">
        <v>1788</v>
      </c>
      <c r="B220" s="250" t="s">
        <v>1789</v>
      </c>
      <c r="C220" s="250" t="s">
        <v>1790</v>
      </c>
      <c r="D220" s="250">
        <v>1.0</v>
      </c>
    </row>
    <row r="221">
      <c r="A221" s="250" t="s">
        <v>1788</v>
      </c>
      <c r="B221" s="250" t="s">
        <v>1789</v>
      </c>
      <c r="C221" s="250" t="s">
        <v>1822</v>
      </c>
      <c r="D221" s="250">
        <v>2.0</v>
      </c>
    </row>
    <row r="222">
      <c r="A222" s="250" t="s">
        <v>1788</v>
      </c>
      <c r="B222" s="250" t="s">
        <v>1789</v>
      </c>
      <c r="C222" s="250" t="s">
        <v>1839</v>
      </c>
      <c r="D222" s="250">
        <v>1.0</v>
      </c>
    </row>
    <row r="223">
      <c r="A223" s="250" t="s">
        <v>1788</v>
      </c>
      <c r="B223" s="250" t="s">
        <v>1810</v>
      </c>
      <c r="C223" s="250" t="s">
        <v>1811</v>
      </c>
      <c r="D223" s="250">
        <v>2.0</v>
      </c>
    </row>
    <row r="224">
      <c r="A224" s="250" t="s">
        <v>1788</v>
      </c>
      <c r="B224" s="250" t="s">
        <v>1833</v>
      </c>
      <c r="C224" s="250" t="s">
        <v>1834</v>
      </c>
      <c r="D224" s="250">
        <v>1.0</v>
      </c>
    </row>
    <row r="225">
      <c r="A225" s="250" t="s">
        <v>1853</v>
      </c>
      <c r="B225" s="250" t="s">
        <v>1854</v>
      </c>
      <c r="C225" s="250" t="s">
        <v>1855</v>
      </c>
      <c r="D225" s="250">
        <v>1.0</v>
      </c>
    </row>
    <row r="226">
      <c r="A226" s="250" t="s">
        <v>1853</v>
      </c>
      <c r="B226" s="250" t="s">
        <v>1854</v>
      </c>
      <c r="C226" s="250" t="s">
        <v>1860</v>
      </c>
      <c r="D226" s="250">
        <v>1.0</v>
      </c>
    </row>
    <row r="227">
      <c r="A227" s="250" t="s">
        <v>1865</v>
      </c>
      <c r="B227" s="250" t="s">
        <v>1888</v>
      </c>
      <c r="C227" s="250" t="s">
        <v>1888</v>
      </c>
      <c r="D227" s="250">
        <v>1.0</v>
      </c>
    </row>
    <row r="228">
      <c r="A228" s="250" t="s">
        <v>1865</v>
      </c>
      <c r="B228" s="250" t="s">
        <v>1888</v>
      </c>
      <c r="C228" s="250" t="s">
        <v>1938</v>
      </c>
      <c r="D228" s="250">
        <v>1.0</v>
      </c>
    </row>
    <row r="229">
      <c r="A229" s="250" t="s">
        <v>1865</v>
      </c>
      <c r="B229" s="250" t="s">
        <v>1888</v>
      </c>
      <c r="C229" s="250" t="s">
        <v>1944</v>
      </c>
      <c r="D229" s="250">
        <v>1.0</v>
      </c>
    </row>
    <row r="230">
      <c r="A230" s="250" t="s">
        <v>1865</v>
      </c>
      <c r="B230" s="250" t="s">
        <v>1975</v>
      </c>
      <c r="C230" s="250" t="s">
        <v>1976</v>
      </c>
      <c r="D230" s="250">
        <v>1.0</v>
      </c>
    </row>
    <row r="231">
      <c r="A231" s="250" t="s">
        <v>1865</v>
      </c>
      <c r="B231" s="250" t="s">
        <v>1893</v>
      </c>
      <c r="C231" s="250" t="s">
        <v>1894</v>
      </c>
      <c r="D231" s="250">
        <v>2.0</v>
      </c>
    </row>
    <row r="232">
      <c r="A232" s="250" t="s">
        <v>1865</v>
      </c>
      <c r="B232" s="250" t="s">
        <v>2032</v>
      </c>
      <c r="C232" s="250" t="s">
        <v>2033</v>
      </c>
      <c r="D232" s="250">
        <v>1.0</v>
      </c>
    </row>
    <row r="233">
      <c r="A233" s="250" t="s">
        <v>1865</v>
      </c>
      <c r="B233" s="250" t="s">
        <v>1902</v>
      </c>
      <c r="C233" s="250" t="s">
        <v>1920</v>
      </c>
      <c r="D233" s="250">
        <v>2.0</v>
      </c>
    </row>
    <row r="234">
      <c r="A234" s="250" t="s">
        <v>1865</v>
      </c>
      <c r="B234" s="250" t="s">
        <v>1902</v>
      </c>
      <c r="C234" s="250" t="s">
        <v>1968</v>
      </c>
      <c r="D234" s="250">
        <v>1.0</v>
      </c>
    </row>
    <row r="235">
      <c r="A235" s="250" t="s">
        <v>1865</v>
      </c>
      <c r="B235" s="250" t="s">
        <v>1902</v>
      </c>
      <c r="C235" s="250" t="s">
        <v>1982</v>
      </c>
      <c r="D235" s="250">
        <v>1.0</v>
      </c>
    </row>
    <row r="236">
      <c r="A236" s="250" t="s">
        <v>1865</v>
      </c>
      <c r="B236" s="250" t="s">
        <v>1902</v>
      </c>
      <c r="C236" s="250" t="s">
        <v>1988</v>
      </c>
      <c r="D236" s="250">
        <v>2.0</v>
      </c>
    </row>
    <row r="237">
      <c r="A237" s="250" t="s">
        <v>1865</v>
      </c>
      <c r="B237" s="250" t="s">
        <v>1902</v>
      </c>
      <c r="C237" s="250" t="s">
        <v>2020</v>
      </c>
      <c r="D237" s="250">
        <v>1.0</v>
      </c>
    </row>
    <row r="238">
      <c r="A238" s="250" t="s">
        <v>1865</v>
      </c>
      <c r="B238" s="250" t="s">
        <v>1902</v>
      </c>
      <c r="C238" s="250" t="s">
        <v>2048</v>
      </c>
      <c r="D238" s="250">
        <v>2.0</v>
      </c>
    </row>
    <row r="239">
      <c r="A239" s="250" t="s">
        <v>1865</v>
      </c>
      <c r="B239" s="250" t="s">
        <v>1902</v>
      </c>
      <c r="C239" s="250" t="s">
        <v>2057</v>
      </c>
      <c r="D239" s="250">
        <v>2.0</v>
      </c>
    </row>
    <row r="240">
      <c r="A240" s="250" t="s">
        <v>1865</v>
      </c>
      <c r="B240" s="250" t="s">
        <v>1902</v>
      </c>
      <c r="C240" s="250" t="s">
        <v>2066</v>
      </c>
      <c r="D240" s="250">
        <v>1.0</v>
      </c>
    </row>
    <row r="241">
      <c r="A241" s="250" t="s">
        <v>1865</v>
      </c>
      <c r="B241" s="250" t="s">
        <v>1902</v>
      </c>
      <c r="C241" s="250" t="s">
        <v>2072</v>
      </c>
      <c r="D241" s="250">
        <v>1.0</v>
      </c>
    </row>
    <row r="242">
      <c r="A242" s="250" t="s">
        <v>1865</v>
      </c>
      <c r="B242" s="250" t="s">
        <v>1902</v>
      </c>
      <c r="C242" s="250" t="s">
        <v>2087</v>
      </c>
      <c r="D242" s="250">
        <v>1.0</v>
      </c>
    </row>
    <row r="243">
      <c r="A243" s="250" t="s">
        <v>1865</v>
      </c>
      <c r="B243" s="250" t="s">
        <v>1902</v>
      </c>
      <c r="C243" s="250" t="s">
        <v>2093</v>
      </c>
      <c r="D243" s="250">
        <v>1.0</v>
      </c>
    </row>
    <row r="244">
      <c r="A244" s="250" t="s">
        <v>1865</v>
      </c>
      <c r="B244" s="250" t="s">
        <v>1866</v>
      </c>
      <c r="C244" s="250" t="s">
        <v>1867</v>
      </c>
      <c r="D244" s="250">
        <v>1.0</v>
      </c>
    </row>
    <row r="245">
      <c r="A245" s="250" t="s">
        <v>1865</v>
      </c>
      <c r="B245" s="250" t="s">
        <v>1914</v>
      </c>
      <c r="C245" s="250" t="s">
        <v>1915</v>
      </c>
      <c r="D245" s="250">
        <v>1.0</v>
      </c>
    </row>
    <row r="246">
      <c r="A246" s="250" t="s">
        <v>1865</v>
      </c>
      <c r="B246" s="250" t="s">
        <v>1914</v>
      </c>
      <c r="C246" s="250" t="s">
        <v>1933</v>
      </c>
      <c r="D246" s="250">
        <v>1.0</v>
      </c>
    </row>
    <row r="247">
      <c r="A247" s="250" t="s">
        <v>1865</v>
      </c>
      <c r="B247" s="250" t="s">
        <v>1873</v>
      </c>
      <c r="C247" s="250" t="s">
        <v>1874</v>
      </c>
      <c r="D247" s="250">
        <v>2.0</v>
      </c>
    </row>
    <row r="248">
      <c r="A248" s="250" t="s">
        <v>1865</v>
      </c>
      <c r="B248" s="250" t="s">
        <v>1873</v>
      </c>
      <c r="C248" s="250" t="s">
        <v>1906</v>
      </c>
      <c r="D248" s="250">
        <v>2.0</v>
      </c>
    </row>
    <row r="249">
      <c r="A249" s="250" t="s">
        <v>1865</v>
      </c>
      <c r="B249" s="250" t="s">
        <v>1873</v>
      </c>
      <c r="C249" s="250" t="s">
        <v>1928</v>
      </c>
      <c r="D249" s="250">
        <v>1.0</v>
      </c>
    </row>
    <row r="250">
      <c r="A250" s="250" t="s">
        <v>1865</v>
      </c>
      <c r="B250" s="250" t="s">
        <v>1873</v>
      </c>
      <c r="C250" s="250" t="s">
        <v>1949</v>
      </c>
      <c r="D250" s="250">
        <v>2.0</v>
      </c>
    </row>
    <row r="251">
      <c r="A251" s="250" t="s">
        <v>1865</v>
      </c>
      <c r="B251" s="250" t="s">
        <v>1873</v>
      </c>
      <c r="C251" s="250" t="s">
        <v>1957</v>
      </c>
      <c r="D251" s="250">
        <v>1.0</v>
      </c>
    </row>
    <row r="252">
      <c r="A252" s="250" t="s">
        <v>1865</v>
      </c>
      <c r="B252" s="250" t="s">
        <v>1873</v>
      </c>
      <c r="C252" s="250" t="s">
        <v>1962</v>
      </c>
      <c r="D252" s="250">
        <v>1.0</v>
      </c>
    </row>
    <row r="253">
      <c r="A253" s="250" t="s">
        <v>1865</v>
      </c>
      <c r="B253" s="250" t="s">
        <v>1873</v>
      </c>
      <c r="C253" s="250" t="s">
        <v>1988</v>
      </c>
      <c r="D253" s="250">
        <v>2.0</v>
      </c>
    </row>
    <row r="254">
      <c r="A254" s="250" t="s">
        <v>1865</v>
      </c>
      <c r="B254" s="250" t="s">
        <v>1873</v>
      </c>
      <c r="C254" s="250" t="s">
        <v>2005</v>
      </c>
      <c r="D254" s="250">
        <v>2.0</v>
      </c>
    </row>
    <row r="255">
      <c r="A255" s="250" t="s">
        <v>1865</v>
      </c>
      <c r="B255" s="250" t="s">
        <v>1873</v>
      </c>
      <c r="C255" s="250" t="s">
        <v>2014</v>
      </c>
      <c r="D255" s="250">
        <v>1.0</v>
      </c>
    </row>
    <row r="256">
      <c r="A256" s="250" t="s">
        <v>1865</v>
      </c>
      <c r="B256" s="250" t="s">
        <v>1873</v>
      </c>
      <c r="C256" s="250" t="s">
        <v>2026</v>
      </c>
      <c r="D256" s="250">
        <v>1.0</v>
      </c>
    </row>
    <row r="257">
      <c r="A257" s="250" t="s">
        <v>1865</v>
      </c>
      <c r="B257" s="250" t="s">
        <v>1873</v>
      </c>
      <c r="C257" s="250" t="s">
        <v>2039</v>
      </c>
      <c r="D257" s="250">
        <v>2.0</v>
      </c>
    </row>
    <row r="258">
      <c r="A258" s="250" t="s">
        <v>1865</v>
      </c>
      <c r="B258" s="250" t="s">
        <v>1873</v>
      </c>
      <c r="C258" s="250" t="s">
        <v>2078</v>
      </c>
      <c r="D258" s="250">
        <v>2.0</v>
      </c>
    </row>
    <row r="259">
      <c r="A259" s="250" t="s">
        <v>1865</v>
      </c>
      <c r="B259" s="250" t="s">
        <v>1873</v>
      </c>
      <c r="C259" s="250" t="s">
        <v>2099</v>
      </c>
      <c r="D259" s="250">
        <v>1.0</v>
      </c>
    </row>
    <row r="260">
      <c r="A260" s="250" t="s">
        <v>1865</v>
      </c>
      <c r="B260" s="250" t="s">
        <v>1873</v>
      </c>
      <c r="C260" s="250" t="s">
        <v>2107</v>
      </c>
      <c r="D260" s="250">
        <v>1.0</v>
      </c>
    </row>
    <row r="261">
      <c r="A261" s="250" t="s">
        <v>1865</v>
      </c>
      <c r="B261" s="250" t="s">
        <v>1873</v>
      </c>
      <c r="C261" s="250" t="s">
        <v>2113</v>
      </c>
      <c r="D261" s="250">
        <v>1.0</v>
      </c>
    </row>
    <row r="262">
      <c r="A262" s="250" t="s">
        <v>1865</v>
      </c>
      <c r="B262" s="250" t="s">
        <v>1873</v>
      </c>
      <c r="C262" s="250" t="s">
        <v>2117</v>
      </c>
      <c r="D262" s="250">
        <v>2.0</v>
      </c>
    </row>
    <row r="263">
      <c r="A263" s="250" t="s">
        <v>2126</v>
      </c>
      <c r="B263" s="250" t="s">
        <v>2160</v>
      </c>
      <c r="C263" s="250" t="s">
        <v>2161</v>
      </c>
      <c r="D263" s="250">
        <v>1.0</v>
      </c>
    </row>
    <row r="264">
      <c r="A264" s="250" t="s">
        <v>2126</v>
      </c>
      <c r="B264" s="250" t="s">
        <v>2160</v>
      </c>
      <c r="C264" s="250" t="s">
        <v>2221</v>
      </c>
      <c r="D264" s="250">
        <v>1.0</v>
      </c>
    </row>
    <row r="265">
      <c r="A265" s="250" t="s">
        <v>2126</v>
      </c>
      <c r="B265" s="250" t="s">
        <v>2160</v>
      </c>
      <c r="C265" s="250" t="s">
        <v>2227</v>
      </c>
      <c r="D265" s="250">
        <v>1.0</v>
      </c>
    </row>
    <row r="266">
      <c r="A266" s="250" t="s">
        <v>2126</v>
      </c>
      <c r="B266" s="250" t="s">
        <v>2160</v>
      </c>
      <c r="C266" s="250" t="s">
        <v>2350</v>
      </c>
      <c r="D266" s="250">
        <v>1.0</v>
      </c>
    </row>
    <row r="267">
      <c r="A267" s="250" t="s">
        <v>2126</v>
      </c>
      <c r="B267" s="250" t="s">
        <v>2160</v>
      </c>
      <c r="C267" s="250" t="s">
        <v>2394</v>
      </c>
      <c r="D267" s="250">
        <v>2.0</v>
      </c>
    </row>
    <row r="268">
      <c r="A268" s="250" t="s">
        <v>2126</v>
      </c>
      <c r="B268" s="250" t="s">
        <v>2148</v>
      </c>
      <c r="C268" s="250" t="s">
        <v>2149</v>
      </c>
      <c r="D268" s="250">
        <v>1.0</v>
      </c>
    </row>
    <row r="269">
      <c r="A269" s="250" t="s">
        <v>2126</v>
      </c>
      <c r="B269" s="250" t="s">
        <v>2148</v>
      </c>
      <c r="C269" s="250" t="s">
        <v>2167</v>
      </c>
      <c r="D269" s="250">
        <v>1.0</v>
      </c>
    </row>
    <row r="270">
      <c r="A270" s="250" t="s">
        <v>2126</v>
      </c>
      <c r="B270" s="250" t="s">
        <v>2148</v>
      </c>
      <c r="C270" s="250" t="s">
        <v>2173</v>
      </c>
      <c r="D270" s="250">
        <v>1.0</v>
      </c>
    </row>
    <row r="271">
      <c r="A271" s="250" t="s">
        <v>2126</v>
      </c>
      <c r="B271" s="250" t="s">
        <v>2148</v>
      </c>
      <c r="C271" s="250" t="s">
        <v>2233</v>
      </c>
      <c r="D271" s="250">
        <v>1.0</v>
      </c>
    </row>
    <row r="272">
      <c r="A272" s="250" t="s">
        <v>2126</v>
      </c>
      <c r="B272" s="250" t="s">
        <v>2148</v>
      </c>
      <c r="C272" s="250" t="s">
        <v>2257</v>
      </c>
      <c r="D272" s="250">
        <v>1.0</v>
      </c>
    </row>
    <row r="273">
      <c r="A273" s="250" t="s">
        <v>2126</v>
      </c>
      <c r="B273" s="250" t="s">
        <v>2148</v>
      </c>
      <c r="C273" s="250" t="s">
        <v>2297</v>
      </c>
      <c r="D273" s="250">
        <v>1.0</v>
      </c>
    </row>
    <row r="274">
      <c r="A274" s="250" t="s">
        <v>2126</v>
      </c>
      <c r="B274" s="250" t="s">
        <v>2126</v>
      </c>
      <c r="C274" s="250" t="s">
        <v>2291</v>
      </c>
      <c r="D274" s="250">
        <v>1.0</v>
      </c>
    </row>
    <row r="275">
      <c r="A275" s="250" t="s">
        <v>2126</v>
      </c>
      <c r="B275" s="250" t="s">
        <v>2126</v>
      </c>
      <c r="C275" s="250" t="s">
        <v>2415</v>
      </c>
      <c r="D275" s="250">
        <v>2.0</v>
      </c>
    </row>
    <row r="276">
      <c r="A276" s="250" t="s">
        <v>2126</v>
      </c>
      <c r="B276" s="250" t="s">
        <v>2126</v>
      </c>
      <c r="C276" s="250" t="s">
        <v>2441</v>
      </c>
      <c r="D276" s="250">
        <v>2.0</v>
      </c>
    </row>
    <row r="277">
      <c r="A277" s="250" t="s">
        <v>2126</v>
      </c>
      <c r="B277" s="250" t="s">
        <v>2303</v>
      </c>
      <c r="C277" s="250" t="s">
        <v>2304</v>
      </c>
      <c r="D277" s="250">
        <v>1.0</v>
      </c>
    </row>
    <row r="278">
      <c r="A278" s="250" t="s">
        <v>2126</v>
      </c>
      <c r="B278" s="250" t="s">
        <v>2303</v>
      </c>
      <c r="C278" s="250" t="s">
        <v>2321</v>
      </c>
      <c r="D278" s="250">
        <v>1.0</v>
      </c>
    </row>
    <row r="279">
      <c r="A279" s="250" t="s">
        <v>2126</v>
      </c>
      <c r="B279" s="250" t="s">
        <v>2303</v>
      </c>
      <c r="C279" s="250" t="s">
        <v>1118</v>
      </c>
      <c r="D279" s="250">
        <v>1.0</v>
      </c>
    </row>
    <row r="280">
      <c r="A280" s="250" t="s">
        <v>2126</v>
      </c>
      <c r="B280" s="250" t="s">
        <v>2303</v>
      </c>
      <c r="C280" s="250" t="s">
        <v>2482</v>
      </c>
      <c r="D280" s="250">
        <v>2.0</v>
      </c>
    </row>
    <row r="281">
      <c r="A281" s="250" t="s">
        <v>2126</v>
      </c>
      <c r="B281" s="250" t="s">
        <v>2127</v>
      </c>
      <c r="C281" s="250" t="s">
        <v>2128</v>
      </c>
      <c r="D281" s="250">
        <v>1.0</v>
      </c>
    </row>
    <row r="282">
      <c r="A282" s="250" t="s">
        <v>2126</v>
      </c>
      <c r="B282" s="250" t="s">
        <v>2127</v>
      </c>
      <c r="C282" s="250" t="s">
        <v>2206</v>
      </c>
      <c r="D282" s="250">
        <v>1.0</v>
      </c>
    </row>
    <row r="283">
      <c r="A283" s="250" t="s">
        <v>2126</v>
      </c>
      <c r="B283" s="250" t="s">
        <v>2127</v>
      </c>
      <c r="C283" s="250" t="s">
        <v>2251</v>
      </c>
      <c r="D283" s="250">
        <v>1.0</v>
      </c>
    </row>
    <row r="284">
      <c r="A284" s="250" t="s">
        <v>2126</v>
      </c>
      <c r="B284" s="250" t="s">
        <v>2127</v>
      </c>
      <c r="C284" s="250" t="s">
        <v>2264</v>
      </c>
      <c r="D284" s="250">
        <v>2.0</v>
      </c>
    </row>
    <row r="285">
      <c r="A285" s="250" t="s">
        <v>2126</v>
      </c>
      <c r="B285" s="250" t="s">
        <v>2127</v>
      </c>
      <c r="C285" s="250" t="s">
        <v>2424</v>
      </c>
      <c r="D285" s="250">
        <v>1.0</v>
      </c>
    </row>
    <row r="286">
      <c r="A286" s="250" t="s">
        <v>2126</v>
      </c>
      <c r="B286" s="250" t="s">
        <v>2310</v>
      </c>
      <c r="C286" s="250" t="s">
        <v>2310</v>
      </c>
      <c r="D286" s="250">
        <v>2.0</v>
      </c>
    </row>
    <row r="287">
      <c r="A287" s="250" t="s">
        <v>2126</v>
      </c>
      <c r="B287" s="250" t="s">
        <v>2310</v>
      </c>
      <c r="C287" s="250" t="s">
        <v>2334</v>
      </c>
      <c r="D287" s="250">
        <v>2.0</v>
      </c>
    </row>
    <row r="288">
      <c r="A288" s="250" t="s">
        <v>2126</v>
      </c>
      <c r="B288" s="250" t="s">
        <v>2310</v>
      </c>
      <c r="C288" s="250" t="s">
        <v>2405</v>
      </c>
      <c r="D288" s="250">
        <v>2.0</v>
      </c>
    </row>
    <row r="289">
      <c r="A289" s="250" t="s">
        <v>2126</v>
      </c>
      <c r="B289" s="250" t="s">
        <v>2310</v>
      </c>
      <c r="C289" s="250" t="s">
        <v>2458</v>
      </c>
      <c r="D289" s="250">
        <v>3.0</v>
      </c>
    </row>
    <row r="290">
      <c r="A290" s="250" t="s">
        <v>2126</v>
      </c>
      <c r="B290" s="250" t="s">
        <v>2136</v>
      </c>
      <c r="C290" s="250" t="s">
        <v>2137</v>
      </c>
      <c r="D290" s="250">
        <v>2.0</v>
      </c>
    </row>
    <row r="291">
      <c r="A291" s="250" t="s">
        <v>2126</v>
      </c>
      <c r="B291" s="250" t="s">
        <v>2136</v>
      </c>
      <c r="C291" s="250" t="s">
        <v>2179</v>
      </c>
      <c r="D291" s="250">
        <v>2.0</v>
      </c>
    </row>
    <row r="292">
      <c r="A292" s="250" t="s">
        <v>2126</v>
      </c>
      <c r="B292" s="250" t="s">
        <v>2136</v>
      </c>
      <c r="C292" s="250" t="s">
        <v>2196</v>
      </c>
      <c r="D292" s="250">
        <v>2.0</v>
      </c>
    </row>
    <row r="293">
      <c r="A293" s="250" t="s">
        <v>2126</v>
      </c>
      <c r="B293" s="250" t="s">
        <v>2136</v>
      </c>
      <c r="C293" s="250" t="s">
        <v>2240</v>
      </c>
      <c r="D293" s="250">
        <v>2.0</v>
      </c>
    </row>
    <row r="294">
      <c r="A294" s="250" t="s">
        <v>2126</v>
      </c>
      <c r="B294" s="250" t="s">
        <v>2136</v>
      </c>
      <c r="C294" s="250" t="s">
        <v>2136</v>
      </c>
      <c r="D294" s="250">
        <v>1.0</v>
      </c>
    </row>
    <row r="295">
      <c r="A295" s="250" t="s">
        <v>2126</v>
      </c>
      <c r="B295" s="250" t="s">
        <v>2136</v>
      </c>
      <c r="C295" s="250" t="s">
        <v>2360</v>
      </c>
      <c r="D295" s="250">
        <v>2.0</v>
      </c>
    </row>
    <row r="296">
      <c r="A296" s="250" t="s">
        <v>2126</v>
      </c>
      <c r="B296" s="250" t="s">
        <v>2136</v>
      </c>
      <c r="C296" s="250" t="s">
        <v>2376</v>
      </c>
      <c r="D296" s="250">
        <v>2.0</v>
      </c>
    </row>
    <row r="297">
      <c r="A297" s="250" t="s">
        <v>2126</v>
      </c>
      <c r="B297" s="250" t="s">
        <v>2136</v>
      </c>
      <c r="C297" s="250" t="s">
        <v>2385</v>
      </c>
      <c r="D297" s="250">
        <v>2.0</v>
      </c>
    </row>
    <row r="298">
      <c r="A298" s="250" t="s">
        <v>2126</v>
      </c>
      <c r="B298" s="250" t="s">
        <v>2136</v>
      </c>
      <c r="C298" s="250" t="s">
        <v>2472</v>
      </c>
      <c r="D298" s="250">
        <v>2.0</v>
      </c>
    </row>
    <row r="299">
      <c r="A299" s="250" t="s">
        <v>2126</v>
      </c>
      <c r="B299" s="250" t="s">
        <v>2188</v>
      </c>
      <c r="C299" s="250" t="s">
        <v>2189</v>
      </c>
      <c r="D299" s="250">
        <v>1.0</v>
      </c>
    </row>
    <row r="300">
      <c r="A300" s="250" t="s">
        <v>2126</v>
      </c>
      <c r="B300" s="250" t="s">
        <v>2188</v>
      </c>
      <c r="C300" s="250" t="s">
        <v>2212</v>
      </c>
      <c r="D300" s="250">
        <v>1.0</v>
      </c>
    </row>
    <row r="301">
      <c r="A301" s="250" t="s">
        <v>2126</v>
      </c>
      <c r="B301" s="250" t="s">
        <v>2188</v>
      </c>
      <c r="C301" s="250" t="s">
        <v>2273</v>
      </c>
      <c r="D301" s="250">
        <v>1.0</v>
      </c>
    </row>
    <row r="302">
      <c r="A302" s="250" t="s">
        <v>2126</v>
      </c>
      <c r="B302" s="250" t="s">
        <v>2188</v>
      </c>
      <c r="C302" s="250" t="s">
        <v>1735</v>
      </c>
      <c r="D302" s="250">
        <v>2.0</v>
      </c>
    </row>
    <row r="303">
      <c r="A303" s="250" t="s">
        <v>2126</v>
      </c>
      <c r="B303" s="250" t="s">
        <v>2188</v>
      </c>
      <c r="C303" s="250" t="s">
        <v>2369</v>
      </c>
      <c r="D303" s="250">
        <v>1.0</v>
      </c>
    </row>
    <row r="304">
      <c r="A304" s="250" t="s">
        <v>2126</v>
      </c>
      <c r="B304" s="250" t="s">
        <v>2188</v>
      </c>
      <c r="C304" s="250" t="s">
        <v>2450</v>
      </c>
      <c r="D304" s="250">
        <v>1.0</v>
      </c>
    </row>
    <row r="305">
      <c r="A305" s="250" t="s">
        <v>2492</v>
      </c>
      <c r="B305" s="250" t="s">
        <v>2493</v>
      </c>
      <c r="C305" s="250" t="s">
        <v>2494</v>
      </c>
      <c r="D305" s="250">
        <v>2.0</v>
      </c>
    </row>
    <row r="306">
      <c r="A306" s="250" t="s">
        <v>2492</v>
      </c>
      <c r="B306" s="250" t="s">
        <v>2511</v>
      </c>
      <c r="C306" s="250" t="s">
        <v>2511</v>
      </c>
      <c r="D306" s="250">
        <v>2.0</v>
      </c>
    </row>
    <row r="307">
      <c r="A307" s="250" t="s">
        <v>2522</v>
      </c>
      <c r="B307" s="250" t="s">
        <v>2530</v>
      </c>
      <c r="C307" s="250" t="s">
        <v>2531</v>
      </c>
      <c r="D307" s="250">
        <v>1.0</v>
      </c>
    </row>
    <row r="308">
      <c r="A308" s="250" t="s">
        <v>2522</v>
      </c>
      <c r="B308" s="250" t="s">
        <v>2530</v>
      </c>
      <c r="C308" s="250" t="s">
        <v>2538</v>
      </c>
      <c r="D308" s="250">
        <v>2.0</v>
      </c>
    </row>
    <row r="309">
      <c r="A309" s="250" t="s">
        <v>2522</v>
      </c>
      <c r="B309" s="250" t="s">
        <v>2530</v>
      </c>
      <c r="C309" s="250" t="s">
        <v>2549</v>
      </c>
      <c r="D309" s="250">
        <v>1.0</v>
      </c>
    </row>
    <row r="310">
      <c r="A310" s="250" t="s">
        <v>2522</v>
      </c>
      <c r="B310" s="250" t="s">
        <v>2530</v>
      </c>
      <c r="C310" s="250" t="s">
        <v>2557</v>
      </c>
      <c r="D310" s="250">
        <v>1.0</v>
      </c>
    </row>
    <row r="311">
      <c r="A311" s="250" t="s">
        <v>2522</v>
      </c>
      <c r="B311" s="250" t="s">
        <v>2530</v>
      </c>
      <c r="C311" s="250" t="s">
        <v>2562</v>
      </c>
      <c r="D311" s="250">
        <v>1.0</v>
      </c>
    </row>
    <row r="312">
      <c r="A312" s="250" t="s">
        <v>2522</v>
      </c>
      <c r="B312" s="250" t="s">
        <v>2530</v>
      </c>
      <c r="C312" s="250" t="s">
        <v>2575</v>
      </c>
      <c r="D312" s="250">
        <v>1.0</v>
      </c>
    </row>
    <row r="313">
      <c r="A313" s="250" t="s">
        <v>2522</v>
      </c>
      <c r="B313" s="250" t="s">
        <v>2530</v>
      </c>
      <c r="C313" s="250" t="s">
        <v>2581</v>
      </c>
      <c r="D313" s="250">
        <v>1.0</v>
      </c>
    </row>
    <row r="314">
      <c r="A314" s="250" t="s">
        <v>2522</v>
      </c>
      <c r="B314" s="250" t="s">
        <v>2523</v>
      </c>
      <c r="C314" s="250" t="s">
        <v>2524</v>
      </c>
      <c r="D314" s="250">
        <v>1.0</v>
      </c>
    </row>
    <row r="315">
      <c r="A315" s="250" t="s">
        <v>2522</v>
      </c>
      <c r="B315" s="250" t="s">
        <v>2523</v>
      </c>
      <c r="C315" s="250" t="s">
        <v>2568</v>
      </c>
      <c r="D315" s="250">
        <v>1.0</v>
      </c>
    </row>
    <row r="316">
      <c r="A316" s="250" t="s">
        <v>2589</v>
      </c>
      <c r="B316" s="250" t="s">
        <v>2644</v>
      </c>
      <c r="C316" s="250" t="s">
        <v>2645</v>
      </c>
      <c r="D316" s="250">
        <v>1.0</v>
      </c>
    </row>
    <row r="317">
      <c r="A317" s="250" t="s">
        <v>2589</v>
      </c>
      <c r="B317" s="250" t="s">
        <v>2644</v>
      </c>
      <c r="C317" s="250" t="s">
        <v>2657</v>
      </c>
      <c r="D317" s="250">
        <v>1.0</v>
      </c>
    </row>
    <row r="318">
      <c r="A318" s="250" t="s">
        <v>2589</v>
      </c>
      <c r="B318" s="250" t="s">
        <v>2599</v>
      </c>
      <c r="C318" s="250" t="s">
        <v>2600</v>
      </c>
      <c r="D318" s="250">
        <v>1.0</v>
      </c>
    </row>
    <row r="319">
      <c r="A319" s="250" t="s">
        <v>2589</v>
      </c>
      <c r="B319" s="250" t="s">
        <v>2599</v>
      </c>
      <c r="C319" s="250" t="s">
        <v>2609</v>
      </c>
      <c r="D319" s="250">
        <v>1.0</v>
      </c>
    </row>
    <row r="320">
      <c r="A320" s="250" t="s">
        <v>2589</v>
      </c>
      <c r="B320" s="250" t="s">
        <v>2599</v>
      </c>
      <c r="C320" s="250" t="s">
        <v>2618</v>
      </c>
      <c r="D320" s="250">
        <v>1.0</v>
      </c>
    </row>
    <row r="321">
      <c r="A321" s="250" t="s">
        <v>2589</v>
      </c>
      <c r="B321" s="250" t="s">
        <v>2599</v>
      </c>
      <c r="C321" s="250" t="s">
        <v>2625</v>
      </c>
      <c r="D321" s="250">
        <v>1.0</v>
      </c>
    </row>
    <row r="322">
      <c r="A322" s="250" t="s">
        <v>2589</v>
      </c>
      <c r="B322" s="250" t="s">
        <v>2589</v>
      </c>
      <c r="C322" s="250" t="s">
        <v>2590</v>
      </c>
      <c r="D322" s="250">
        <v>1.0</v>
      </c>
    </row>
    <row r="323">
      <c r="A323" s="250" t="s">
        <v>2589</v>
      </c>
      <c r="B323" s="250" t="s">
        <v>2589</v>
      </c>
      <c r="C323" s="250" t="s">
        <v>2632</v>
      </c>
      <c r="D323" s="250">
        <v>2.0</v>
      </c>
    </row>
    <row r="324">
      <c r="A324" s="250" t="s">
        <v>2589</v>
      </c>
      <c r="B324" s="250" t="s">
        <v>2589</v>
      </c>
      <c r="C324" s="250" t="s">
        <v>2651</v>
      </c>
      <c r="D324" s="250">
        <v>1.0</v>
      </c>
    </row>
    <row r="325">
      <c r="A325" s="250" t="s">
        <v>2664</v>
      </c>
      <c r="B325" s="250" t="s">
        <v>2665</v>
      </c>
      <c r="C325" s="250" t="s">
        <v>2666</v>
      </c>
      <c r="D325" s="250">
        <v>2.0</v>
      </c>
    </row>
    <row r="326">
      <c r="A326" s="250" t="s">
        <v>2677</v>
      </c>
      <c r="B326" s="250" t="s">
        <v>1874</v>
      </c>
      <c r="C326" s="250" t="s">
        <v>2814</v>
      </c>
      <c r="D326" s="250">
        <v>1.0</v>
      </c>
    </row>
    <row r="327">
      <c r="A327" s="250" t="s">
        <v>2677</v>
      </c>
      <c r="B327" s="250" t="s">
        <v>1874</v>
      </c>
      <c r="C327" s="250" t="s">
        <v>2876</v>
      </c>
      <c r="D327" s="250">
        <v>1.0</v>
      </c>
    </row>
    <row r="328">
      <c r="A328" s="250" t="s">
        <v>2677</v>
      </c>
      <c r="B328" s="250" t="s">
        <v>2678</v>
      </c>
      <c r="C328" s="250" t="s">
        <v>2679</v>
      </c>
      <c r="D328" s="250">
        <v>1.0</v>
      </c>
    </row>
    <row r="329">
      <c r="A329" s="250" t="s">
        <v>2677</v>
      </c>
      <c r="B329" s="250" t="s">
        <v>2678</v>
      </c>
      <c r="C329" s="250" t="s">
        <v>2716</v>
      </c>
      <c r="D329" s="250">
        <v>2.0</v>
      </c>
    </row>
    <row r="330">
      <c r="A330" s="250" t="s">
        <v>2677</v>
      </c>
      <c r="B330" s="250" t="s">
        <v>2678</v>
      </c>
      <c r="C330" s="250" t="s">
        <v>2739</v>
      </c>
      <c r="D330" s="250">
        <v>1.0</v>
      </c>
    </row>
    <row r="331">
      <c r="A331" s="250" t="s">
        <v>2677</v>
      </c>
      <c r="B331" s="250" t="s">
        <v>2678</v>
      </c>
      <c r="C331" s="250" t="s">
        <v>2782</v>
      </c>
      <c r="D331" s="250">
        <v>2.0</v>
      </c>
    </row>
    <row r="332">
      <c r="A332" s="250" t="s">
        <v>2677</v>
      </c>
      <c r="B332" s="250" t="s">
        <v>2678</v>
      </c>
      <c r="C332" s="250" t="s">
        <v>2808</v>
      </c>
      <c r="D332" s="250">
        <v>1.0</v>
      </c>
    </row>
    <row r="333">
      <c r="A333" s="250" t="s">
        <v>2677</v>
      </c>
      <c r="B333" s="250" t="s">
        <v>2678</v>
      </c>
      <c r="C333" s="250" t="s">
        <v>2825</v>
      </c>
      <c r="D333" s="250">
        <v>1.0</v>
      </c>
    </row>
    <row r="334">
      <c r="A334" s="250" t="s">
        <v>2677</v>
      </c>
      <c r="B334" s="250" t="s">
        <v>2678</v>
      </c>
      <c r="C334" s="250" t="s">
        <v>2870</v>
      </c>
      <c r="D334" s="250">
        <v>1.0</v>
      </c>
    </row>
    <row r="335">
      <c r="A335" s="250" t="s">
        <v>2677</v>
      </c>
      <c r="B335" s="250" t="s">
        <v>2678</v>
      </c>
      <c r="C335" s="250" t="s">
        <v>2928</v>
      </c>
      <c r="D335" s="250">
        <v>1.0</v>
      </c>
    </row>
    <row r="336">
      <c r="A336" s="250" t="s">
        <v>2677</v>
      </c>
      <c r="B336" s="250" t="s">
        <v>2758</v>
      </c>
      <c r="C336" s="250" t="s">
        <v>2759</v>
      </c>
      <c r="D336" s="250">
        <v>2.0</v>
      </c>
    </row>
    <row r="337">
      <c r="A337" s="250" t="s">
        <v>2677</v>
      </c>
      <c r="B337" s="250" t="s">
        <v>2758</v>
      </c>
      <c r="C337" s="250" t="s">
        <v>2849</v>
      </c>
      <c r="D337" s="250">
        <v>1.0</v>
      </c>
    </row>
    <row r="338">
      <c r="A338" s="250" t="s">
        <v>2677</v>
      </c>
      <c r="B338" s="250" t="s">
        <v>2709</v>
      </c>
      <c r="C338" s="250" t="s">
        <v>2710</v>
      </c>
      <c r="D338" s="250">
        <v>1.0</v>
      </c>
    </row>
    <row r="339">
      <c r="A339" s="250" t="s">
        <v>2677</v>
      </c>
      <c r="B339" s="250" t="s">
        <v>2709</v>
      </c>
      <c r="C339" s="250" t="s">
        <v>2732</v>
      </c>
      <c r="D339" s="250">
        <v>1.0</v>
      </c>
    </row>
    <row r="340">
      <c r="A340" s="250" t="s">
        <v>2677</v>
      </c>
      <c r="B340" s="250" t="s">
        <v>2709</v>
      </c>
      <c r="C340" s="250" t="s">
        <v>2900</v>
      </c>
      <c r="D340" s="250">
        <v>1.0</v>
      </c>
    </row>
    <row r="341">
      <c r="A341" s="250" t="s">
        <v>2677</v>
      </c>
      <c r="B341" s="250" t="s">
        <v>2725</v>
      </c>
      <c r="C341" s="250" t="s">
        <v>2726</v>
      </c>
      <c r="D341" s="250">
        <v>1.0</v>
      </c>
    </row>
    <row r="342">
      <c r="A342" s="250" t="s">
        <v>2677</v>
      </c>
      <c r="B342" s="250" t="s">
        <v>2725</v>
      </c>
      <c r="C342" s="250" t="s">
        <v>2776</v>
      </c>
      <c r="D342" s="250">
        <v>1.0</v>
      </c>
    </row>
    <row r="343">
      <c r="A343" s="250" t="s">
        <v>2677</v>
      </c>
      <c r="B343" s="250" t="s">
        <v>2819</v>
      </c>
      <c r="C343" s="250" t="s">
        <v>2820</v>
      </c>
      <c r="D343" s="250">
        <v>1.0</v>
      </c>
    </row>
    <row r="344">
      <c r="A344" s="250" t="s">
        <v>2677</v>
      </c>
      <c r="B344" s="250" t="s">
        <v>2819</v>
      </c>
      <c r="C344" s="250" t="s">
        <v>2831</v>
      </c>
      <c r="D344" s="250">
        <v>1.0</v>
      </c>
    </row>
    <row r="345">
      <c r="A345" s="250" t="s">
        <v>2677</v>
      </c>
      <c r="B345" s="250" t="s">
        <v>2819</v>
      </c>
      <c r="C345" s="250" t="s">
        <v>1038</v>
      </c>
      <c r="D345" s="250">
        <v>2.0</v>
      </c>
    </row>
    <row r="346">
      <c r="A346" s="250" t="s">
        <v>2677</v>
      </c>
      <c r="B346" s="250" t="s">
        <v>2819</v>
      </c>
      <c r="C346" s="250" t="s">
        <v>2934</v>
      </c>
      <c r="D346" s="250">
        <v>1.0</v>
      </c>
    </row>
    <row r="347">
      <c r="A347" s="250" t="s">
        <v>2677</v>
      </c>
      <c r="B347" s="250" t="s">
        <v>2695</v>
      </c>
      <c r="C347" s="250" t="s">
        <v>2696</v>
      </c>
      <c r="D347" s="250">
        <v>1.0</v>
      </c>
    </row>
    <row r="348">
      <c r="A348" s="250" t="s">
        <v>2677</v>
      </c>
      <c r="B348" s="250" t="s">
        <v>2695</v>
      </c>
      <c r="C348" s="250" t="s">
        <v>2746</v>
      </c>
      <c r="D348" s="250">
        <v>1.0</v>
      </c>
    </row>
    <row r="349">
      <c r="A349" s="250" t="s">
        <v>2677</v>
      </c>
      <c r="B349" s="250" t="s">
        <v>2695</v>
      </c>
      <c r="C349" s="250" t="s">
        <v>2802</v>
      </c>
      <c r="D349" s="250">
        <v>1.0</v>
      </c>
    </row>
    <row r="350">
      <c r="A350" s="250" t="s">
        <v>2677</v>
      </c>
      <c r="B350" s="250" t="s">
        <v>2695</v>
      </c>
      <c r="C350" s="250" t="s">
        <v>2922</v>
      </c>
      <c r="D350" s="250">
        <v>1.0</v>
      </c>
    </row>
    <row r="351">
      <c r="A351" s="250" t="s">
        <v>2677</v>
      </c>
      <c r="B351" s="250" t="s">
        <v>2768</v>
      </c>
      <c r="C351" s="250" t="s">
        <v>2769</v>
      </c>
      <c r="D351" s="250">
        <v>1.0</v>
      </c>
    </row>
    <row r="352">
      <c r="A352" s="250" t="s">
        <v>2677</v>
      </c>
      <c r="B352" s="250" t="s">
        <v>2677</v>
      </c>
      <c r="C352" s="250" t="s">
        <v>2864</v>
      </c>
      <c r="D352" s="250">
        <v>1.0</v>
      </c>
    </row>
    <row r="353">
      <c r="A353" s="250" t="s">
        <v>2677</v>
      </c>
      <c r="B353" s="250" t="s">
        <v>2677</v>
      </c>
      <c r="C353" s="250" t="s">
        <v>2915</v>
      </c>
      <c r="D353" s="250">
        <v>1.0</v>
      </c>
    </row>
    <row r="354">
      <c r="A354" s="250" t="s">
        <v>2677</v>
      </c>
      <c r="B354" s="250" t="s">
        <v>2906</v>
      </c>
      <c r="C354" s="250" t="s">
        <v>2907</v>
      </c>
      <c r="D354" s="250">
        <v>2.0</v>
      </c>
    </row>
    <row r="355">
      <c r="A355" s="250" t="s">
        <v>2677</v>
      </c>
      <c r="B355" s="250" t="s">
        <v>2702</v>
      </c>
      <c r="C355" s="250" t="s">
        <v>2703</v>
      </c>
      <c r="D355" s="250">
        <v>1.0</v>
      </c>
    </row>
    <row r="356">
      <c r="A356" s="250" t="s">
        <v>2677</v>
      </c>
      <c r="B356" s="250" t="s">
        <v>2688</v>
      </c>
      <c r="C356" s="250" t="s">
        <v>2689</v>
      </c>
      <c r="D356" s="250">
        <v>1.0</v>
      </c>
    </row>
    <row r="357">
      <c r="A357" s="250" t="s">
        <v>2677</v>
      </c>
      <c r="B357" s="250" t="s">
        <v>2688</v>
      </c>
      <c r="C357" s="250" t="s">
        <v>2752</v>
      </c>
      <c r="D357" s="250">
        <v>1.0</v>
      </c>
    </row>
    <row r="358">
      <c r="A358" s="250" t="s">
        <v>2677</v>
      </c>
      <c r="B358" s="250" t="s">
        <v>2688</v>
      </c>
      <c r="C358" s="250" t="s">
        <v>2791</v>
      </c>
      <c r="D358" s="250">
        <v>2.0</v>
      </c>
    </row>
    <row r="359">
      <c r="A359" s="250" t="s">
        <v>2677</v>
      </c>
      <c r="B359" s="250" t="s">
        <v>2688</v>
      </c>
      <c r="C359" s="250" t="s">
        <v>2837</v>
      </c>
      <c r="D359" s="250">
        <v>1.0</v>
      </c>
    </row>
    <row r="360">
      <c r="A360" s="250" t="s">
        <v>2677</v>
      </c>
      <c r="B360" s="250" t="s">
        <v>2688</v>
      </c>
      <c r="C360" s="250" t="s">
        <v>2843</v>
      </c>
      <c r="D360" s="250">
        <v>1.0</v>
      </c>
    </row>
    <row r="361">
      <c r="A361" s="250" t="s">
        <v>2677</v>
      </c>
      <c r="B361" s="250" t="s">
        <v>2688</v>
      </c>
      <c r="C361" s="250" t="s">
        <v>2855</v>
      </c>
      <c r="D361" s="250">
        <v>2.0</v>
      </c>
    </row>
    <row r="362">
      <c r="A362" s="250" t="s">
        <v>2677</v>
      </c>
      <c r="B362" s="250" t="s">
        <v>2688</v>
      </c>
      <c r="C362" s="250" t="s">
        <v>2881</v>
      </c>
      <c r="D362" s="250">
        <v>1.0</v>
      </c>
    </row>
    <row r="363">
      <c r="A363" s="250" t="s">
        <v>2677</v>
      </c>
      <c r="B363" s="250" t="s">
        <v>2688</v>
      </c>
      <c r="C363" s="250" t="s">
        <v>2887</v>
      </c>
      <c r="D363" s="250">
        <v>1.0</v>
      </c>
    </row>
    <row r="364">
      <c r="A364" s="250" t="s">
        <v>2677</v>
      </c>
      <c r="B364" s="250" t="s">
        <v>2688</v>
      </c>
      <c r="C364" s="250" t="s">
        <v>2939</v>
      </c>
      <c r="D364" s="250">
        <v>1.0</v>
      </c>
    </row>
    <row r="365">
      <c r="A365" s="250" t="s">
        <v>2944</v>
      </c>
      <c r="B365" s="250" t="s">
        <v>2945</v>
      </c>
      <c r="C365" s="250" t="s">
        <v>2946</v>
      </c>
      <c r="D365" s="250">
        <v>2.0</v>
      </c>
    </row>
    <row r="366">
      <c r="A366" s="250" t="s">
        <v>2944</v>
      </c>
      <c r="B366" s="250" t="s">
        <v>2945</v>
      </c>
      <c r="C366" s="250" t="s">
        <v>2984</v>
      </c>
      <c r="D366" s="250">
        <v>1.0</v>
      </c>
    </row>
    <row r="367">
      <c r="A367" s="250" t="s">
        <v>2944</v>
      </c>
      <c r="B367" s="250" t="s">
        <v>2958</v>
      </c>
      <c r="C367" s="250" t="s">
        <v>2959</v>
      </c>
      <c r="D367" s="250">
        <v>1.0</v>
      </c>
    </row>
    <row r="368">
      <c r="A368" s="250" t="s">
        <v>2944</v>
      </c>
      <c r="B368" s="250" t="s">
        <v>2958</v>
      </c>
      <c r="C368" s="250" t="s">
        <v>3008</v>
      </c>
      <c r="D368" s="250">
        <v>1.0</v>
      </c>
    </row>
    <row r="369">
      <c r="A369" s="250" t="s">
        <v>2944</v>
      </c>
      <c r="B369" s="250" t="s">
        <v>2989</v>
      </c>
      <c r="C369" s="250" t="s">
        <v>2990</v>
      </c>
      <c r="D369" s="250">
        <v>1.0</v>
      </c>
    </row>
    <row r="370">
      <c r="A370" s="250" t="s">
        <v>2944</v>
      </c>
      <c r="B370" s="250" t="s">
        <v>3024</v>
      </c>
      <c r="C370" s="250" t="s">
        <v>3025</v>
      </c>
      <c r="D370" s="250">
        <v>1.0</v>
      </c>
    </row>
    <row r="371">
      <c r="A371" s="250" t="s">
        <v>2944</v>
      </c>
      <c r="B371" s="250" t="s">
        <v>2967</v>
      </c>
      <c r="C371" s="250" t="s">
        <v>2968</v>
      </c>
      <c r="D371" s="250">
        <v>1.0</v>
      </c>
    </row>
    <row r="372">
      <c r="A372" s="250" t="s">
        <v>2944</v>
      </c>
      <c r="B372" s="250" t="s">
        <v>2967</v>
      </c>
      <c r="C372" s="250" t="s">
        <v>3013</v>
      </c>
      <c r="D372" s="250">
        <v>1.0</v>
      </c>
    </row>
    <row r="373">
      <c r="A373" s="250" t="s">
        <v>2944</v>
      </c>
      <c r="B373" s="250" t="s">
        <v>2967</v>
      </c>
      <c r="C373" s="250" t="s">
        <v>3030</v>
      </c>
      <c r="D373" s="250">
        <v>1.0</v>
      </c>
    </row>
    <row r="374">
      <c r="A374" s="250" t="s">
        <v>2944</v>
      </c>
      <c r="B374" s="250" t="s">
        <v>2944</v>
      </c>
      <c r="C374" s="250" t="s">
        <v>2974</v>
      </c>
      <c r="D374" s="250">
        <v>1.0</v>
      </c>
    </row>
    <row r="375">
      <c r="A375" s="250" t="s">
        <v>2944</v>
      </c>
      <c r="B375" s="250" t="s">
        <v>2944</v>
      </c>
      <c r="C375" s="250" t="s">
        <v>2979</v>
      </c>
      <c r="D375" s="250">
        <v>1.0</v>
      </c>
    </row>
    <row r="376">
      <c r="A376" s="250" t="s">
        <v>2944</v>
      </c>
      <c r="B376" s="250" t="s">
        <v>2944</v>
      </c>
      <c r="C376" s="250" t="s">
        <v>2995</v>
      </c>
      <c r="D376" s="250">
        <v>2.0</v>
      </c>
    </row>
    <row r="377">
      <c r="A377" s="250" t="s">
        <v>2944</v>
      </c>
      <c r="B377" s="250" t="s">
        <v>2944</v>
      </c>
      <c r="C377" s="250" t="s">
        <v>3003</v>
      </c>
      <c r="D377" s="250">
        <v>1.0</v>
      </c>
    </row>
    <row r="378">
      <c r="A378" s="250" t="s">
        <v>2944</v>
      </c>
      <c r="B378" s="250" t="s">
        <v>2944</v>
      </c>
      <c r="C378" s="250" t="s">
        <v>3019</v>
      </c>
      <c r="D378" s="250">
        <v>1.0</v>
      </c>
    </row>
    <row r="379">
      <c r="A379" s="250" t="s">
        <v>3035</v>
      </c>
      <c r="B379" s="250" t="s">
        <v>3057</v>
      </c>
      <c r="C379" s="250" t="s">
        <v>3058</v>
      </c>
      <c r="D379" s="250">
        <v>1.0</v>
      </c>
    </row>
    <row r="380">
      <c r="A380" s="250" t="s">
        <v>3035</v>
      </c>
      <c r="B380" s="250" t="s">
        <v>3035</v>
      </c>
      <c r="C380" s="250" t="s">
        <v>2831</v>
      </c>
      <c r="D380" s="250">
        <v>1.0</v>
      </c>
    </row>
    <row r="381">
      <c r="A381" s="250" t="s">
        <v>3035</v>
      </c>
      <c r="B381" s="250" t="s">
        <v>3036</v>
      </c>
      <c r="C381" s="250" t="s">
        <v>3037</v>
      </c>
      <c r="D381" s="250">
        <v>2.0</v>
      </c>
    </row>
    <row r="382">
      <c r="A382" s="250" t="s">
        <v>3035</v>
      </c>
      <c r="B382" s="250" t="s">
        <v>3036</v>
      </c>
      <c r="C382" s="250" t="s">
        <v>3048</v>
      </c>
      <c r="D382" s="250">
        <v>2.0</v>
      </c>
    </row>
    <row r="383">
      <c r="A383" s="250" t="s">
        <v>3035</v>
      </c>
      <c r="B383" s="250" t="s">
        <v>3036</v>
      </c>
      <c r="C383" s="250" t="s">
        <v>3067</v>
      </c>
      <c r="D383" s="250">
        <v>1.0</v>
      </c>
    </row>
    <row r="384">
      <c r="A384" s="250" t="s">
        <v>3035</v>
      </c>
      <c r="B384" s="250" t="s">
        <v>3036</v>
      </c>
      <c r="C384" s="250" t="s">
        <v>3036</v>
      </c>
      <c r="D384" s="250">
        <v>1.0</v>
      </c>
    </row>
    <row r="385">
      <c r="A385" s="250" t="s">
        <v>3035</v>
      </c>
      <c r="B385" s="250" t="s">
        <v>3036</v>
      </c>
      <c r="C385" s="250" t="s">
        <v>3077</v>
      </c>
      <c r="D385" s="250">
        <v>1.0</v>
      </c>
    </row>
    <row r="386">
      <c r="A386" s="250" t="s">
        <v>2188</v>
      </c>
      <c r="B386" s="250" t="s">
        <v>3106</v>
      </c>
      <c r="C386" s="250" t="s">
        <v>3107</v>
      </c>
      <c r="D386" s="250">
        <v>2.0</v>
      </c>
    </row>
    <row r="387">
      <c r="A387" s="250" t="s">
        <v>2188</v>
      </c>
      <c r="B387" s="250" t="s">
        <v>3106</v>
      </c>
      <c r="C387" s="250" t="s">
        <v>3115</v>
      </c>
      <c r="D387" s="250">
        <v>1.0</v>
      </c>
    </row>
    <row r="388">
      <c r="A388" s="250" t="s">
        <v>2188</v>
      </c>
      <c r="B388" s="250" t="s">
        <v>3083</v>
      </c>
      <c r="C388" s="250" t="s">
        <v>3084</v>
      </c>
      <c r="D388" s="250">
        <v>2.0</v>
      </c>
    </row>
    <row r="389">
      <c r="A389" s="250" t="s">
        <v>2188</v>
      </c>
      <c r="B389" s="250" t="s">
        <v>3083</v>
      </c>
      <c r="C389" s="250" t="s">
        <v>3092</v>
      </c>
      <c r="D389" s="250">
        <v>1.0</v>
      </c>
    </row>
    <row r="390">
      <c r="A390" s="250" t="s">
        <v>2188</v>
      </c>
      <c r="B390" s="250" t="s">
        <v>3097</v>
      </c>
      <c r="C390" s="250" t="s">
        <v>3097</v>
      </c>
      <c r="D390" s="250">
        <v>2.0</v>
      </c>
    </row>
  </sheetData>
  <autoFilter ref="$A$1:$D$39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38"/>
    <col customWidth="1" min="3" max="3" width="26.75"/>
    <col customWidth="1" min="4" max="4" width="43.75"/>
    <col customWidth="1" min="5" max="5" width="7.38"/>
  </cols>
  <sheetData>
    <row r="1">
      <c r="A1" s="252" t="s">
        <v>23</v>
      </c>
      <c r="B1" s="253" t="s">
        <v>24</v>
      </c>
      <c r="C1" s="253" t="s">
        <v>25</v>
      </c>
      <c r="D1" s="254" t="s">
        <v>3206</v>
      </c>
      <c r="E1" s="255"/>
    </row>
    <row r="2">
      <c r="A2" s="256" t="s">
        <v>68</v>
      </c>
      <c r="B2" s="257" t="s">
        <v>69</v>
      </c>
      <c r="C2" s="258" t="s">
        <v>70</v>
      </c>
      <c r="D2" s="259" t="s">
        <v>3207</v>
      </c>
      <c r="E2" s="260" t="s">
        <v>1476</v>
      </c>
    </row>
    <row r="3">
      <c r="A3" s="256" t="s">
        <v>316</v>
      </c>
      <c r="B3" s="257" t="s">
        <v>3208</v>
      </c>
      <c r="C3" s="258" t="s">
        <v>3209</v>
      </c>
      <c r="D3" s="261" t="s">
        <v>3210</v>
      </c>
      <c r="E3" s="255"/>
    </row>
    <row r="4">
      <c r="A4" s="256" t="s">
        <v>328</v>
      </c>
      <c r="B4" s="257" t="s">
        <v>329</v>
      </c>
      <c r="C4" s="258">
        <v>9.97795341E8</v>
      </c>
      <c r="D4" s="259" t="s">
        <v>3211</v>
      </c>
      <c r="E4" s="255"/>
    </row>
    <row r="5">
      <c r="A5" s="256" t="s">
        <v>339</v>
      </c>
      <c r="B5" s="257" t="s">
        <v>340</v>
      </c>
      <c r="C5" s="258" t="s">
        <v>341</v>
      </c>
      <c r="D5" s="259" t="s">
        <v>3212</v>
      </c>
      <c r="E5" s="255"/>
    </row>
    <row r="6">
      <c r="A6" s="256" t="s">
        <v>374</v>
      </c>
      <c r="B6" s="257" t="s">
        <v>375</v>
      </c>
      <c r="C6" s="258" t="s">
        <v>376</v>
      </c>
      <c r="D6" s="259" t="s">
        <v>3213</v>
      </c>
      <c r="E6" s="255"/>
    </row>
    <row r="7">
      <c r="A7" s="256" t="s">
        <v>549</v>
      </c>
      <c r="B7" s="257" t="s">
        <v>550</v>
      </c>
      <c r="C7" s="258" t="s">
        <v>551</v>
      </c>
      <c r="D7" s="259" t="s">
        <v>3214</v>
      </c>
      <c r="E7" s="255"/>
    </row>
    <row r="8">
      <c r="A8" s="256" t="s">
        <v>579</v>
      </c>
      <c r="B8" s="257" t="s">
        <v>3215</v>
      </c>
      <c r="C8" s="258" t="s">
        <v>3216</v>
      </c>
      <c r="D8" s="259" t="s">
        <v>3217</v>
      </c>
      <c r="E8" s="255"/>
    </row>
    <row r="9">
      <c r="A9" s="256" t="s">
        <v>589</v>
      </c>
      <c r="B9" s="257" t="s">
        <v>590</v>
      </c>
      <c r="C9" s="258">
        <v>0.0</v>
      </c>
      <c r="D9" s="261" t="s">
        <v>3218</v>
      </c>
      <c r="E9" s="255"/>
    </row>
    <row r="10">
      <c r="A10" s="256" t="s">
        <v>658</v>
      </c>
      <c r="B10" s="257" t="s">
        <v>659</v>
      </c>
      <c r="C10" s="258">
        <v>0.0</v>
      </c>
      <c r="D10" s="261" t="s">
        <v>3219</v>
      </c>
      <c r="E10" s="255"/>
    </row>
    <row r="11">
      <c r="A11" s="256" t="s">
        <v>685</v>
      </c>
      <c r="B11" s="257" t="s">
        <v>686</v>
      </c>
      <c r="C11" s="258" t="s">
        <v>687</v>
      </c>
      <c r="D11" s="259" t="s">
        <v>3220</v>
      </c>
      <c r="E11" s="255"/>
    </row>
    <row r="12">
      <c r="A12" s="256" t="s">
        <v>884</v>
      </c>
      <c r="B12" s="257" t="s">
        <v>885</v>
      </c>
      <c r="C12" s="258">
        <v>0.0</v>
      </c>
      <c r="D12" s="261" t="s">
        <v>3221</v>
      </c>
      <c r="E12" s="255"/>
    </row>
    <row r="13">
      <c r="A13" s="256" t="s">
        <v>3222</v>
      </c>
      <c r="B13" s="257" t="s">
        <v>3215</v>
      </c>
      <c r="C13" s="258" t="s">
        <v>3216</v>
      </c>
      <c r="D13" s="262" t="s">
        <v>3223</v>
      </c>
      <c r="E13" s="255"/>
    </row>
    <row r="14">
      <c r="A14" s="256" t="s">
        <v>1079</v>
      </c>
      <c r="B14" s="257" t="s">
        <v>1080</v>
      </c>
      <c r="C14" s="258">
        <v>0.0</v>
      </c>
      <c r="D14" s="261" t="s">
        <v>3224</v>
      </c>
      <c r="E14" s="255"/>
    </row>
    <row r="15">
      <c r="A15" s="256" t="s">
        <v>1099</v>
      </c>
      <c r="B15" s="257" t="s">
        <v>1100</v>
      </c>
      <c r="C15" s="258">
        <v>0.0</v>
      </c>
      <c r="D15" s="261" t="s">
        <v>3225</v>
      </c>
      <c r="E15" s="255"/>
    </row>
    <row r="16">
      <c r="A16" s="256" t="s">
        <v>1113</v>
      </c>
      <c r="B16" s="257" t="s">
        <v>1114</v>
      </c>
      <c r="C16" s="258">
        <v>0.0</v>
      </c>
      <c r="D16" s="259" t="s">
        <v>3226</v>
      </c>
      <c r="E16" s="255"/>
    </row>
    <row r="17">
      <c r="A17" s="256" t="s">
        <v>1147</v>
      </c>
      <c r="B17" s="257" t="s">
        <v>1148</v>
      </c>
      <c r="C17" s="258" t="s">
        <v>1149</v>
      </c>
      <c r="D17" s="259" t="s">
        <v>3227</v>
      </c>
      <c r="E17" s="255"/>
    </row>
    <row r="18">
      <c r="A18" s="256" t="s">
        <v>1200</v>
      </c>
      <c r="B18" s="257" t="s">
        <v>1201</v>
      </c>
      <c r="C18" s="258">
        <v>0.0</v>
      </c>
      <c r="D18" s="261" t="s">
        <v>3228</v>
      </c>
      <c r="E18" s="255"/>
    </row>
    <row r="19">
      <c r="A19" s="256" t="s">
        <v>1336</v>
      </c>
      <c r="B19" s="257" t="s">
        <v>1337</v>
      </c>
      <c r="C19" s="262" t="s">
        <v>3229</v>
      </c>
      <c r="D19" s="259" t="s">
        <v>3230</v>
      </c>
      <c r="E19" s="255"/>
    </row>
    <row r="20">
      <c r="A20" s="256" t="s">
        <v>1497</v>
      </c>
      <c r="B20" s="257" t="s">
        <v>1498</v>
      </c>
      <c r="C20" s="258">
        <v>0.0</v>
      </c>
      <c r="D20" s="263"/>
      <c r="E20" s="255"/>
    </row>
    <row r="21">
      <c r="A21" s="256" t="s">
        <v>1505</v>
      </c>
      <c r="B21" s="257" t="s">
        <v>1506</v>
      </c>
      <c r="C21" s="258">
        <v>0.0</v>
      </c>
      <c r="D21" s="259" t="s">
        <v>3231</v>
      </c>
      <c r="E21" s="264" t="s">
        <v>1476</v>
      </c>
    </row>
    <row r="22">
      <c r="A22" s="256" t="s">
        <v>1590</v>
      </c>
      <c r="B22" s="257" t="s">
        <v>1579</v>
      </c>
      <c r="C22" s="258" t="s">
        <v>1580</v>
      </c>
      <c r="D22" s="259" t="s">
        <v>3232</v>
      </c>
      <c r="E22" s="255"/>
    </row>
    <row r="23">
      <c r="A23" s="256" t="s">
        <v>1620</v>
      </c>
      <c r="B23" s="257" t="s">
        <v>1621</v>
      </c>
      <c r="C23" s="258">
        <v>0.0</v>
      </c>
      <c r="D23" s="261" t="s">
        <v>3233</v>
      </c>
      <c r="E23" s="255"/>
    </row>
    <row r="24">
      <c r="A24" s="256" t="s">
        <v>1794</v>
      </c>
      <c r="B24" s="257" t="s">
        <v>1795</v>
      </c>
      <c r="C24" s="258">
        <v>0.0</v>
      </c>
      <c r="D24" s="261" t="s">
        <v>3234</v>
      </c>
      <c r="E24" s="255"/>
    </row>
    <row r="25">
      <c r="A25" s="256" t="s">
        <v>1803</v>
      </c>
      <c r="B25" s="257" t="s">
        <v>1080</v>
      </c>
      <c r="C25" s="258">
        <v>0.0</v>
      </c>
      <c r="D25" s="263"/>
      <c r="E25" s="255"/>
    </row>
    <row r="26">
      <c r="A26" s="256" t="s">
        <v>1815</v>
      </c>
      <c r="B26" s="265" t="s">
        <v>1816</v>
      </c>
      <c r="C26" s="258">
        <v>0.0</v>
      </c>
      <c r="D26" s="263"/>
      <c r="E26" s="255"/>
    </row>
    <row r="27">
      <c r="A27" s="256" t="s">
        <v>1826</v>
      </c>
      <c r="B27" s="257" t="s">
        <v>3235</v>
      </c>
      <c r="C27" s="258">
        <v>0.0</v>
      </c>
      <c r="D27" s="261" t="s">
        <v>3236</v>
      </c>
      <c r="E27" s="255"/>
    </row>
    <row r="28">
      <c r="A28" s="256" t="s">
        <v>1878</v>
      </c>
      <c r="B28" s="257" t="s">
        <v>1879</v>
      </c>
      <c r="C28" s="258">
        <v>0.0</v>
      </c>
      <c r="D28" s="259" t="s">
        <v>3237</v>
      </c>
      <c r="E28" s="255"/>
    </row>
    <row r="29">
      <c r="A29" s="256" t="s">
        <v>2132</v>
      </c>
      <c r="B29" s="257" t="s">
        <v>2133</v>
      </c>
      <c r="C29" s="258">
        <v>0.0</v>
      </c>
      <c r="D29" s="263"/>
      <c r="E29" s="255"/>
    </row>
    <row r="30">
      <c r="A30" s="256" t="s">
        <v>2141</v>
      </c>
      <c r="B30" s="257" t="s">
        <v>2142</v>
      </c>
      <c r="C30" s="258">
        <v>9.50035824E8</v>
      </c>
      <c r="D30" s="259" t="s">
        <v>3238</v>
      </c>
      <c r="E30" s="255"/>
    </row>
    <row r="31">
      <c r="A31" s="256" t="s">
        <v>2153</v>
      </c>
      <c r="B31" s="257" t="s">
        <v>2154</v>
      </c>
      <c r="C31" s="258">
        <v>0.0</v>
      </c>
      <c r="D31" s="261" t="s">
        <v>3239</v>
      </c>
      <c r="E31" s="255"/>
    </row>
    <row r="32">
      <c r="A32" s="256" t="s">
        <v>2507</v>
      </c>
      <c r="B32" s="257" t="s">
        <v>2508</v>
      </c>
      <c r="C32" s="258">
        <v>0.0</v>
      </c>
      <c r="D32" s="261" t="s">
        <v>3240</v>
      </c>
      <c r="E32" s="255"/>
    </row>
    <row r="33">
      <c r="A33" s="256" t="s">
        <v>2515</v>
      </c>
      <c r="B33" s="257" t="s">
        <v>2516</v>
      </c>
      <c r="C33" s="258">
        <v>0.0</v>
      </c>
      <c r="D33" s="259" t="s">
        <v>3241</v>
      </c>
      <c r="E33" s="255"/>
    </row>
    <row r="34">
      <c r="A34" s="256" t="s">
        <v>2594</v>
      </c>
      <c r="B34" s="257" t="s">
        <v>2595</v>
      </c>
      <c r="C34" s="258" t="s">
        <v>2596</v>
      </c>
      <c r="D34" s="259" t="s">
        <v>3242</v>
      </c>
      <c r="E34" s="255"/>
    </row>
    <row r="35">
      <c r="A35" s="256" t="s">
        <v>3243</v>
      </c>
      <c r="B35" s="265" t="s">
        <v>3244</v>
      </c>
      <c r="C35" s="262">
        <v>9.84034538E8</v>
      </c>
      <c r="D35" s="259" t="s">
        <v>3220</v>
      </c>
      <c r="E35" s="255"/>
    </row>
    <row r="36">
      <c r="A36" s="256" t="s">
        <v>2670</v>
      </c>
      <c r="B36" s="257" t="s">
        <v>2671</v>
      </c>
      <c r="C36" s="258">
        <v>0.0</v>
      </c>
      <c r="D36" s="261" t="s">
        <v>3245</v>
      </c>
      <c r="E36" s="255"/>
    </row>
    <row r="37">
      <c r="A37" s="256" t="s">
        <v>2683</v>
      </c>
      <c r="B37" s="257" t="s">
        <v>2684</v>
      </c>
      <c r="C37" s="258">
        <v>0.0</v>
      </c>
      <c r="D37" s="263"/>
      <c r="E37" s="255"/>
    </row>
    <row r="38">
      <c r="A38" s="256" t="s">
        <v>2795</v>
      </c>
      <c r="B38" s="257" t="s">
        <v>2796</v>
      </c>
      <c r="C38" s="258">
        <v>0.0</v>
      </c>
      <c r="D38" s="259" t="s">
        <v>3246</v>
      </c>
      <c r="E38" s="255"/>
    </row>
    <row r="39">
      <c r="A39" s="256" t="s">
        <v>2951</v>
      </c>
      <c r="B39" s="257" t="s">
        <v>2952</v>
      </c>
      <c r="C39" s="258">
        <v>0.0</v>
      </c>
      <c r="D39" s="262" t="s">
        <v>3247</v>
      </c>
      <c r="E39" s="255"/>
    </row>
    <row r="40">
      <c r="A40" s="256" t="s">
        <v>3041</v>
      </c>
      <c r="B40" s="257" t="s">
        <v>3042</v>
      </c>
      <c r="C40" s="258" t="s">
        <v>3043</v>
      </c>
      <c r="D40" s="259" t="s">
        <v>3248</v>
      </c>
      <c r="E40" s="255"/>
    </row>
    <row r="41">
      <c r="A41" s="266"/>
      <c r="B41" s="266"/>
      <c r="C41" s="266"/>
      <c r="D41" s="266"/>
      <c r="E41" s="255"/>
    </row>
    <row r="42">
      <c r="A42" s="266"/>
      <c r="B42" s="266"/>
      <c r="C42" s="266"/>
      <c r="D42" s="266"/>
      <c r="E42" s="255"/>
    </row>
    <row r="43">
      <c r="A43" s="266"/>
      <c r="B43" s="266"/>
      <c r="C43" s="266"/>
      <c r="D43" s="266"/>
      <c r="E43" s="255"/>
    </row>
    <row r="44">
      <c r="A44" s="266"/>
      <c r="B44" s="266"/>
      <c r="C44" s="266"/>
      <c r="D44" s="266"/>
      <c r="E44" s="255"/>
    </row>
    <row r="45">
      <c r="A45" s="266"/>
      <c r="B45" s="266"/>
      <c r="C45" s="266"/>
      <c r="D45" s="266"/>
      <c r="E45" s="255"/>
    </row>
    <row r="46">
      <c r="A46" s="266"/>
      <c r="B46" s="266"/>
      <c r="C46" s="266"/>
      <c r="D46" s="266"/>
      <c r="E46" s="255"/>
    </row>
    <row r="47">
      <c r="A47" s="266"/>
      <c r="B47" s="266"/>
      <c r="C47" s="266"/>
      <c r="D47" s="266"/>
      <c r="E47" s="255"/>
    </row>
    <row r="48">
      <c r="A48" s="266"/>
      <c r="B48" s="266"/>
      <c r="C48" s="266"/>
      <c r="D48" s="266"/>
      <c r="E48" s="255"/>
    </row>
    <row r="49">
      <c r="A49" s="266"/>
      <c r="B49" s="266"/>
      <c r="C49" s="266"/>
      <c r="D49" s="266"/>
      <c r="E49" s="255"/>
    </row>
    <row r="50">
      <c r="A50" s="266"/>
      <c r="B50" s="266"/>
      <c r="C50" s="266"/>
      <c r="D50" s="266"/>
      <c r="E50" s="255"/>
    </row>
    <row r="51">
      <c r="A51" s="266"/>
      <c r="B51" s="266"/>
      <c r="C51" s="266"/>
      <c r="D51" s="266"/>
      <c r="E51" s="255"/>
    </row>
    <row r="52">
      <c r="A52" s="266"/>
      <c r="B52" s="266"/>
      <c r="C52" s="266"/>
      <c r="D52" s="266"/>
      <c r="E52" s="255"/>
    </row>
    <row r="53">
      <c r="A53" s="266"/>
      <c r="B53" s="266"/>
      <c r="C53" s="266"/>
      <c r="D53" s="266"/>
      <c r="E53" s="255"/>
    </row>
    <row r="54">
      <c r="A54" s="266"/>
      <c r="B54" s="266"/>
      <c r="C54" s="266"/>
      <c r="D54" s="266"/>
      <c r="E54" s="255"/>
    </row>
    <row r="55">
      <c r="A55" s="266"/>
      <c r="B55" s="266"/>
      <c r="C55" s="266"/>
      <c r="D55" s="266"/>
      <c r="E55" s="255"/>
    </row>
    <row r="56">
      <c r="A56" s="266"/>
      <c r="B56" s="266"/>
      <c r="C56" s="266"/>
      <c r="D56" s="266"/>
      <c r="E56" s="255"/>
    </row>
    <row r="57">
      <c r="A57" s="266"/>
      <c r="B57" s="266"/>
      <c r="C57" s="266"/>
      <c r="D57" s="266"/>
      <c r="E57" s="255"/>
    </row>
    <row r="58">
      <c r="A58" s="266"/>
      <c r="B58" s="266"/>
      <c r="C58" s="266"/>
      <c r="D58" s="266"/>
      <c r="E58" s="255"/>
    </row>
    <row r="59">
      <c r="A59" s="266"/>
      <c r="B59" s="266"/>
      <c r="C59" s="266"/>
      <c r="D59" s="266"/>
      <c r="E59" s="255"/>
    </row>
    <row r="60">
      <c r="A60" s="266"/>
      <c r="B60" s="266"/>
      <c r="C60" s="266"/>
      <c r="D60" s="266"/>
      <c r="E60" s="255"/>
    </row>
    <row r="61">
      <c r="A61" s="266"/>
      <c r="B61" s="266"/>
      <c r="C61" s="266"/>
      <c r="D61" s="266"/>
      <c r="E61" s="255"/>
    </row>
    <row r="62">
      <c r="A62" s="266"/>
      <c r="B62" s="266"/>
      <c r="C62" s="266"/>
      <c r="D62" s="266"/>
      <c r="E62" s="255"/>
    </row>
    <row r="63">
      <c r="A63" s="266"/>
      <c r="B63" s="266"/>
      <c r="C63" s="266"/>
      <c r="D63" s="266"/>
      <c r="E63" s="255"/>
    </row>
    <row r="64">
      <c r="A64" s="266"/>
      <c r="B64" s="266"/>
      <c r="C64" s="266"/>
      <c r="D64" s="266"/>
      <c r="E64" s="255"/>
    </row>
    <row r="65">
      <c r="A65" s="266"/>
      <c r="B65" s="266"/>
      <c r="C65" s="266"/>
      <c r="D65" s="266"/>
      <c r="E65" s="255"/>
    </row>
    <row r="66">
      <c r="A66" s="266"/>
      <c r="B66" s="266"/>
      <c r="C66" s="266"/>
      <c r="D66" s="266"/>
      <c r="E66" s="255"/>
    </row>
    <row r="67">
      <c r="A67" s="266"/>
      <c r="B67" s="266"/>
      <c r="C67" s="266"/>
      <c r="D67" s="266"/>
      <c r="E67" s="255"/>
    </row>
    <row r="68">
      <c r="A68" s="266"/>
      <c r="B68" s="266"/>
      <c r="C68" s="266"/>
      <c r="D68" s="266"/>
      <c r="E68" s="255"/>
    </row>
    <row r="69">
      <c r="A69" s="266"/>
      <c r="B69" s="266"/>
      <c r="C69" s="266"/>
      <c r="D69" s="266"/>
      <c r="E69" s="255"/>
    </row>
    <row r="70">
      <c r="A70" s="266"/>
      <c r="B70" s="266"/>
      <c r="C70" s="266"/>
      <c r="D70" s="266"/>
      <c r="E70" s="255"/>
    </row>
    <row r="71">
      <c r="A71" s="266"/>
      <c r="B71" s="266"/>
      <c r="C71" s="266"/>
      <c r="D71" s="266"/>
      <c r="E71" s="255"/>
    </row>
    <row r="72">
      <c r="A72" s="266"/>
      <c r="B72" s="266"/>
      <c r="C72" s="266"/>
      <c r="D72" s="266"/>
      <c r="E72" s="255"/>
    </row>
    <row r="73">
      <c r="A73" s="266"/>
      <c r="B73" s="266"/>
      <c r="C73" s="266"/>
      <c r="D73" s="266"/>
      <c r="E73" s="255"/>
    </row>
    <row r="74">
      <c r="A74" s="266"/>
      <c r="B74" s="266"/>
      <c r="C74" s="266"/>
      <c r="D74" s="266"/>
      <c r="E74" s="255"/>
    </row>
    <row r="75">
      <c r="A75" s="266"/>
      <c r="B75" s="266"/>
      <c r="C75" s="266"/>
      <c r="D75" s="266"/>
      <c r="E75" s="255"/>
    </row>
    <row r="76">
      <c r="A76" s="266"/>
      <c r="B76" s="266"/>
      <c r="C76" s="266"/>
      <c r="D76" s="266"/>
      <c r="E76" s="255"/>
    </row>
    <row r="77">
      <c r="A77" s="266"/>
      <c r="B77" s="266"/>
      <c r="C77" s="266"/>
      <c r="D77" s="266"/>
      <c r="E77" s="255"/>
    </row>
    <row r="78">
      <c r="A78" s="266"/>
      <c r="B78" s="266"/>
      <c r="C78" s="266"/>
      <c r="D78" s="266"/>
      <c r="E78" s="255"/>
    </row>
    <row r="79">
      <c r="A79" s="266"/>
      <c r="B79" s="266"/>
      <c r="C79" s="266"/>
      <c r="D79" s="266"/>
      <c r="E79" s="255"/>
    </row>
    <row r="80">
      <c r="A80" s="266"/>
      <c r="B80" s="266"/>
      <c r="C80" s="266"/>
      <c r="D80" s="266"/>
      <c r="E80" s="255"/>
    </row>
    <row r="81">
      <c r="A81" s="266"/>
      <c r="B81" s="266"/>
      <c r="C81" s="266"/>
      <c r="D81" s="266"/>
      <c r="E81" s="255"/>
    </row>
    <row r="82">
      <c r="A82" s="266"/>
      <c r="B82" s="266"/>
      <c r="C82" s="266"/>
      <c r="D82" s="266"/>
      <c r="E82" s="255"/>
    </row>
    <row r="83">
      <c r="A83" s="266"/>
      <c r="B83" s="266"/>
      <c r="C83" s="266"/>
      <c r="D83" s="266"/>
      <c r="E83" s="255"/>
    </row>
    <row r="84">
      <c r="A84" s="266"/>
      <c r="B84" s="266"/>
      <c r="C84" s="266"/>
      <c r="D84" s="266"/>
      <c r="E84" s="255"/>
    </row>
    <row r="85">
      <c r="A85" s="266"/>
      <c r="B85" s="266"/>
      <c r="C85" s="266"/>
      <c r="D85" s="266"/>
      <c r="E85" s="255"/>
    </row>
    <row r="86">
      <c r="A86" s="266"/>
      <c r="B86" s="266"/>
      <c r="C86" s="266"/>
      <c r="D86" s="266"/>
      <c r="E86" s="255"/>
    </row>
    <row r="87">
      <c r="A87" s="266"/>
      <c r="B87" s="266"/>
      <c r="C87" s="266"/>
      <c r="D87" s="266"/>
      <c r="E87" s="255"/>
    </row>
    <row r="88">
      <c r="A88" s="266"/>
      <c r="B88" s="266"/>
      <c r="C88" s="266"/>
      <c r="D88" s="266"/>
      <c r="E88" s="255"/>
    </row>
    <row r="89">
      <c r="A89" s="266"/>
      <c r="B89" s="266"/>
      <c r="C89" s="266"/>
      <c r="D89" s="266"/>
      <c r="E89" s="255"/>
    </row>
    <row r="90">
      <c r="A90" s="266"/>
      <c r="B90" s="266"/>
      <c r="C90" s="266"/>
      <c r="D90" s="266"/>
      <c r="E90" s="255"/>
    </row>
    <row r="91">
      <c r="A91" s="266"/>
      <c r="B91" s="266"/>
      <c r="C91" s="266"/>
      <c r="D91" s="266"/>
      <c r="E91" s="255"/>
    </row>
    <row r="92">
      <c r="A92" s="266"/>
      <c r="B92" s="266"/>
      <c r="C92" s="266"/>
      <c r="D92" s="266"/>
      <c r="E92" s="255"/>
    </row>
    <row r="93">
      <c r="A93" s="266"/>
      <c r="B93" s="266"/>
      <c r="C93" s="266"/>
      <c r="D93" s="266"/>
      <c r="E93" s="255"/>
    </row>
    <row r="94">
      <c r="A94" s="266"/>
      <c r="B94" s="266"/>
      <c r="C94" s="266"/>
      <c r="D94" s="266"/>
      <c r="E94" s="255"/>
    </row>
    <row r="95">
      <c r="A95" s="266"/>
      <c r="B95" s="266"/>
      <c r="C95" s="266"/>
      <c r="D95" s="266"/>
      <c r="E95" s="255"/>
    </row>
    <row r="96">
      <c r="A96" s="266"/>
      <c r="B96" s="266"/>
      <c r="C96" s="266"/>
      <c r="D96" s="266"/>
      <c r="E96" s="255"/>
    </row>
    <row r="97">
      <c r="A97" s="266"/>
      <c r="B97" s="266"/>
      <c r="C97" s="266"/>
      <c r="D97" s="266"/>
      <c r="E97" s="255"/>
    </row>
    <row r="98">
      <c r="A98" s="266"/>
      <c r="B98" s="266"/>
      <c r="C98" s="266"/>
      <c r="D98" s="266"/>
      <c r="E98" s="255"/>
    </row>
    <row r="99">
      <c r="A99" s="266"/>
      <c r="B99" s="266"/>
      <c r="C99" s="266"/>
      <c r="D99" s="266"/>
      <c r="E99" s="255"/>
    </row>
    <row r="100">
      <c r="A100" s="266"/>
      <c r="B100" s="266"/>
      <c r="C100" s="266"/>
      <c r="D100" s="266"/>
      <c r="E100" s="255"/>
    </row>
    <row r="101">
      <c r="A101" s="266"/>
      <c r="B101" s="266"/>
      <c r="C101" s="266"/>
      <c r="D101" s="266"/>
      <c r="E101" s="255"/>
    </row>
    <row r="102">
      <c r="A102" s="266"/>
      <c r="B102" s="266"/>
      <c r="C102" s="266"/>
      <c r="D102" s="266"/>
      <c r="E102" s="255"/>
    </row>
    <row r="103">
      <c r="A103" s="266"/>
      <c r="B103" s="266"/>
      <c r="C103" s="266"/>
      <c r="D103" s="266"/>
      <c r="E103" s="255"/>
    </row>
    <row r="104">
      <c r="A104" s="266"/>
      <c r="B104" s="266"/>
      <c r="C104" s="266"/>
      <c r="D104" s="266"/>
      <c r="E104" s="255"/>
    </row>
    <row r="105">
      <c r="A105" s="266"/>
      <c r="B105" s="266"/>
      <c r="C105" s="266"/>
      <c r="D105" s="266"/>
      <c r="E105" s="255"/>
    </row>
    <row r="106">
      <c r="A106" s="266"/>
      <c r="B106" s="266"/>
      <c r="C106" s="266"/>
      <c r="D106" s="266"/>
      <c r="E106" s="255"/>
    </row>
    <row r="107">
      <c r="A107" s="266"/>
      <c r="B107" s="266"/>
      <c r="C107" s="266"/>
      <c r="D107" s="266"/>
      <c r="E107" s="255"/>
    </row>
    <row r="108">
      <c r="A108" s="266"/>
      <c r="B108" s="266"/>
      <c r="C108" s="266"/>
      <c r="D108" s="266"/>
      <c r="E108" s="255"/>
    </row>
    <row r="109">
      <c r="A109" s="266"/>
      <c r="B109" s="266"/>
      <c r="C109" s="266"/>
      <c r="D109" s="266"/>
      <c r="E109" s="255"/>
    </row>
    <row r="110">
      <c r="A110" s="266"/>
      <c r="B110" s="266"/>
      <c r="C110" s="266"/>
      <c r="D110" s="266"/>
      <c r="E110" s="255"/>
    </row>
    <row r="111">
      <c r="A111" s="266"/>
      <c r="B111" s="266"/>
      <c r="C111" s="266"/>
      <c r="D111" s="266"/>
      <c r="E111" s="255"/>
    </row>
    <row r="112">
      <c r="A112" s="266"/>
      <c r="B112" s="266"/>
      <c r="C112" s="266"/>
      <c r="D112" s="266"/>
      <c r="E112" s="255"/>
    </row>
    <row r="113">
      <c r="A113" s="266"/>
      <c r="B113" s="266"/>
      <c r="C113" s="266"/>
      <c r="D113" s="266"/>
      <c r="E113" s="255"/>
    </row>
    <row r="114">
      <c r="A114" s="266"/>
      <c r="B114" s="266"/>
      <c r="C114" s="266"/>
      <c r="D114" s="266"/>
      <c r="E114" s="255"/>
    </row>
    <row r="115">
      <c r="A115" s="266"/>
      <c r="B115" s="266"/>
      <c r="C115" s="266"/>
      <c r="D115" s="266"/>
      <c r="E115" s="255"/>
    </row>
    <row r="116">
      <c r="A116" s="266"/>
      <c r="B116" s="266"/>
      <c r="C116" s="266"/>
      <c r="D116" s="266"/>
      <c r="E116" s="255"/>
    </row>
    <row r="117">
      <c r="A117" s="266"/>
      <c r="B117" s="266"/>
      <c r="C117" s="266"/>
      <c r="D117" s="266"/>
      <c r="E117" s="255"/>
    </row>
    <row r="118">
      <c r="A118" s="266"/>
      <c r="B118" s="266"/>
      <c r="C118" s="266"/>
      <c r="D118" s="266"/>
      <c r="E118" s="255"/>
    </row>
    <row r="119">
      <c r="A119" s="266"/>
      <c r="B119" s="266"/>
      <c r="C119" s="266"/>
      <c r="D119" s="266"/>
      <c r="E119" s="255"/>
    </row>
    <row r="120">
      <c r="A120" s="266"/>
      <c r="B120" s="266"/>
      <c r="C120" s="266"/>
      <c r="D120" s="266"/>
      <c r="E120" s="255"/>
    </row>
    <row r="121">
      <c r="A121" s="266"/>
      <c r="B121" s="266"/>
      <c r="C121" s="266"/>
      <c r="D121" s="266"/>
      <c r="E121" s="255"/>
    </row>
    <row r="122">
      <c r="A122" s="266"/>
      <c r="B122" s="266"/>
      <c r="C122" s="266"/>
      <c r="D122" s="266"/>
      <c r="E122" s="255"/>
    </row>
    <row r="123">
      <c r="A123" s="266"/>
      <c r="B123" s="266"/>
      <c r="C123" s="266"/>
      <c r="D123" s="266"/>
      <c r="E123" s="255"/>
    </row>
    <row r="124">
      <c r="A124" s="266"/>
      <c r="B124" s="266"/>
      <c r="C124" s="266"/>
      <c r="D124" s="266"/>
      <c r="E124" s="255"/>
    </row>
    <row r="125">
      <c r="A125" s="266"/>
      <c r="B125" s="266"/>
      <c r="C125" s="266"/>
      <c r="D125" s="266"/>
      <c r="E125" s="255"/>
    </row>
    <row r="126">
      <c r="A126" s="266"/>
      <c r="B126" s="266"/>
      <c r="C126" s="266"/>
      <c r="D126" s="266"/>
      <c r="E126" s="255"/>
    </row>
    <row r="127">
      <c r="A127" s="266"/>
      <c r="B127" s="266"/>
      <c r="C127" s="266"/>
      <c r="D127" s="266"/>
      <c r="E127" s="255"/>
    </row>
    <row r="128">
      <c r="A128" s="266"/>
      <c r="B128" s="266"/>
      <c r="C128" s="266"/>
      <c r="D128" s="266"/>
      <c r="E128" s="255"/>
    </row>
    <row r="129">
      <c r="A129" s="266"/>
      <c r="B129" s="266"/>
      <c r="C129" s="266"/>
      <c r="D129" s="266"/>
      <c r="E129" s="255"/>
    </row>
    <row r="130">
      <c r="A130" s="266"/>
      <c r="B130" s="266"/>
      <c r="C130" s="266"/>
      <c r="D130" s="266"/>
      <c r="E130" s="255"/>
    </row>
    <row r="131">
      <c r="A131" s="266"/>
      <c r="B131" s="266"/>
      <c r="C131" s="266"/>
      <c r="D131" s="266"/>
      <c r="E131" s="255"/>
    </row>
    <row r="132">
      <c r="A132" s="266"/>
      <c r="B132" s="266"/>
      <c r="C132" s="266"/>
      <c r="D132" s="266"/>
      <c r="E132" s="255"/>
    </row>
    <row r="133">
      <c r="A133" s="266"/>
      <c r="B133" s="266"/>
      <c r="C133" s="266"/>
      <c r="D133" s="266"/>
      <c r="E133" s="255"/>
    </row>
    <row r="134">
      <c r="A134" s="266"/>
      <c r="B134" s="266"/>
      <c r="C134" s="266"/>
      <c r="D134" s="266"/>
      <c r="E134" s="255"/>
    </row>
    <row r="135">
      <c r="A135" s="266"/>
      <c r="B135" s="266"/>
      <c r="C135" s="266"/>
      <c r="D135" s="266"/>
      <c r="E135" s="255"/>
    </row>
    <row r="136">
      <c r="A136" s="266"/>
      <c r="B136" s="266"/>
      <c r="C136" s="266"/>
      <c r="D136" s="266"/>
      <c r="E136" s="255"/>
    </row>
    <row r="137">
      <c r="A137" s="266"/>
      <c r="B137" s="266"/>
      <c r="C137" s="266"/>
      <c r="D137" s="266"/>
      <c r="E137" s="255"/>
    </row>
    <row r="138">
      <c r="A138" s="266"/>
      <c r="B138" s="266"/>
      <c r="C138" s="266"/>
      <c r="D138" s="266"/>
      <c r="E138" s="255"/>
    </row>
    <row r="139">
      <c r="A139" s="266"/>
      <c r="B139" s="266"/>
      <c r="C139" s="266"/>
      <c r="D139" s="266"/>
      <c r="E139" s="255"/>
    </row>
    <row r="140">
      <c r="A140" s="266"/>
      <c r="B140" s="266"/>
      <c r="C140" s="266"/>
      <c r="D140" s="266"/>
      <c r="E140" s="255"/>
    </row>
    <row r="141">
      <c r="A141" s="266"/>
      <c r="B141" s="266"/>
      <c r="C141" s="266"/>
      <c r="D141" s="266"/>
      <c r="E141" s="255"/>
    </row>
    <row r="142">
      <c r="A142" s="266"/>
      <c r="B142" s="266"/>
      <c r="C142" s="266"/>
      <c r="D142" s="266"/>
      <c r="E142" s="255"/>
    </row>
    <row r="143">
      <c r="A143" s="266"/>
      <c r="B143" s="266"/>
      <c r="C143" s="266"/>
      <c r="D143" s="266"/>
      <c r="E143" s="255"/>
    </row>
    <row r="144">
      <c r="A144" s="266"/>
      <c r="B144" s="266"/>
      <c r="C144" s="266"/>
      <c r="D144" s="266"/>
      <c r="E144" s="255"/>
    </row>
    <row r="145">
      <c r="A145" s="266"/>
      <c r="B145" s="266"/>
      <c r="C145" s="266"/>
      <c r="D145" s="266"/>
      <c r="E145" s="255"/>
    </row>
    <row r="146">
      <c r="A146" s="266"/>
      <c r="B146" s="266"/>
      <c r="C146" s="266"/>
      <c r="D146" s="266"/>
      <c r="E146" s="255"/>
    </row>
    <row r="147">
      <c r="A147" s="266"/>
      <c r="B147" s="266"/>
      <c r="C147" s="266"/>
      <c r="D147" s="266"/>
      <c r="E147" s="255"/>
    </row>
    <row r="148">
      <c r="A148" s="266"/>
      <c r="B148" s="266"/>
      <c r="C148" s="266"/>
      <c r="D148" s="266"/>
      <c r="E148" s="255"/>
    </row>
    <row r="149">
      <c r="A149" s="266"/>
      <c r="B149" s="266"/>
      <c r="C149" s="266"/>
      <c r="D149" s="266"/>
      <c r="E149" s="255"/>
    </row>
    <row r="150">
      <c r="A150" s="266"/>
      <c r="B150" s="266"/>
      <c r="C150" s="266"/>
      <c r="D150" s="266"/>
      <c r="E150" s="255"/>
    </row>
    <row r="151">
      <c r="A151" s="266"/>
      <c r="B151" s="266"/>
      <c r="C151" s="266"/>
      <c r="D151" s="266"/>
      <c r="E151" s="255"/>
    </row>
    <row r="152">
      <c r="A152" s="266"/>
      <c r="B152" s="266"/>
      <c r="C152" s="266"/>
      <c r="D152" s="266"/>
      <c r="E152" s="255"/>
    </row>
    <row r="153">
      <c r="A153" s="266"/>
      <c r="B153" s="266"/>
      <c r="C153" s="266"/>
      <c r="D153" s="266"/>
      <c r="E153" s="255"/>
    </row>
    <row r="154">
      <c r="A154" s="266"/>
      <c r="B154" s="266"/>
      <c r="C154" s="266"/>
      <c r="D154" s="266"/>
      <c r="E154" s="255"/>
    </row>
    <row r="155">
      <c r="A155" s="266"/>
      <c r="B155" s="266"/>
      <c r="C155" s="266"/>
      <c r="D155" s="266"/>
      <c r="E155" s="255"/>
    </row>
    <row r="156">
      <c r="A156" s="266"/>
      <c r="B156" s="266"/>
      <c r="C156" s="266"/>
      <c r="D156" s="266"/>
      <c r="E156" s="255"/>
    </row>
    <row r="157">
      <c r="A157" s="266"/>
      <c r="B157" s="266"/>
      <c r="C157" s="266"/>
      <c r="D157" s="266"/>
      <c r="E157" s="255"/>
    </row>
    <row r="158">
      <c r="A158" s="266"/>
      <c r="B158" s="266"/>
      <c r="C158" s="266"/>
      <c r="D158" s="266"/>
      <c r="E158" s="255"/>
    </row>
    <row r="159">
      <c r="A159" s="266"/>
      <c r="B159" s="266"/>
      <c r="C159" s="266"/>
      <c r="D159" s="266"/>
      <c r="E159" s="255"/>
    </row>
    <row r="160">
      <c r="A160" s="266"/>
      <c r="B160" s="266"/>
      <c r="C160" s="266"/>
      <c r="D160" s="266"/>
      <c r="E160" s="255"/>
    </row>
    <row r="161">
      <c r="A161" s="266"/>
      <c r="B161" s="266"/>
      <c r="C161" s="266"/>
      <c r="D161" s="266"/>
      <c r="E161" s="255"/>
    </row>
    <row r="162">
      <c r="A162" s="266"/>
      <c r="B162" s="266"/>
      <c r="C162" s="266"/>
      <c r="D162" s="266"/>
      <c r="E162" s="255"/>
    </row>
    <row r="163">
      <c r="A163" s="266"/>
      <c r="B163" s="266"/>
      <c r="C163" s="266"/>
      <c r="D163" s="266"/>
      <c r="E163" s="255"/>
    </row>
    <row r="164">
      <c r="A164" s="266"/>
      <c r="B164" s="266"/>
      <c r="C164" s="266"/>
      <c r="D164" s="266"/>
      <c r="E164" s="255"/>
    </row>
    <row r="165">
      <c r="A165" s="266"/>
      <c r="B165" s="266"/>
      <c r="C165" s="266"/>
      <c r="D165" s="266"/>
      <c r="E165" s="255"/>
    </row>
    <row r="166">
      <c r="A166" s="266"/>
      <c r="B166" s="266"/>
      <c r="C166" s="266"/>
      <c r="D166" s="266"/>
      <c r="E166" s="255"/>
    </row>
    <row r="167">
      <c r="A167" s="266"/>
      <c r="B167" s="266"/>
      <c r="C167" s="266"/>
      <c r="D167" s="266"/>
      <c r="E167" s="255"/>
    </row>
    <row r="168">
      <c r="A168" s="266"/>
      <c r="B168" s="266"/>
      <c r="C168" s="266"/>
      <c r="D168" s="266"/>
      <c r="E168" s="255"/>
    </row>
    <row r="169">
      <c r="A169" s="266"/>
      <c r="B169" s="266"/>
      <c r="C169" s="266"/>
      <c r="D169" s="266"/>
      <c r="E169" s="255"/>
    </row>
    <row r="170">
      <c r="A170" s="266"/>
      <c r="B170" s="266"/>
      <c r="C170" s="266"/>
      <c r="D170" s="266"/>
      <c r="E170" s="255"/>
    </row>
    <row r="171">
      <c r="A171" s="266"/>
      <c r="B171" s="266"/>
      <c r="C171" s="266"/>
      <c r="D171" s="266"/>
      <c r="E171" s="255"/>
    </row>
    <row r="172">
      <c r="A172" s="266"/>
      <c r="B172" s="266"/>
      <c r="C172" s="266"/>
      <c r="D172" s="266"/>
      <c r="E172" s="255"/>
    </row>
    <row r="173">
      <c r="A173" s="266"/>
      <c r="B173" s="266"/>
      <c r="C173" s="266"/>
      <c r="D173" s="266"/>
      <c r="E173" s="255"/>
    </row>
    <row r="174">
      <c r="A174" s="266"/>
      <c r="B174" s="266"/>
      <c r="C174" s="266"/>
      <c r="D174" s="266"/>
      <c r="E174" s="255"/>
    </row>
    <row r="175">
      <c r="A175" s="266"/>
      <c r="B175" s="266"/>
      <c r="C175" s="266"/>
      <c r="D175" s="266"/>
      <c r="E175" s="255"/>
    </row>
    <row r="176">
      <c r="A176" s="266"/>
      <c r="B176" s="266"/>
      <c r="C176" s="266"/>
      <c r="D176" s="266"/>
      <c r="E176" s="255"/>
    </row>
    <row r="177">
      <c r="A177" s="266"/>
      <c r="B177" s="266"/>
      <c r="C177" s="266"/>
      <c r="D177" s="266"/>
      <c r="E177" s="255"/>
    </row>
    <row r="178">
      <c r="A178" s="266"/>
      <c r="B178" s="266"/>
      <c r="C178" s="266"/>
      <c r="D178" s="266"/>
      <c r="E178" s="255"/>
    </row>
    <row r="179">
      <c r="A179" s="266"/>
      <c r="B179" s="266"/>
      <c r="C179" s="266"/>
      <c r="D179" s="266"/>
      <c r="E179" s="255"/>
    </row>
    <row r="180">
      <c r="A180" s="266"/>
      <c r="B180" s="266"/>
      <c r="C180" s="266"/>
      <c r="D180" s="266"/>
      <c r="E180" s="255"/>
    </row>
    <row r="181">
      <c r="A181" s="266"/>
      <c r="B181" s="266"/>
      <c r="C181" s="266"/>
      <c r="D181" s="266"/>
      <c r="E181" s="255"/>
    </row>
    <row r="182">
      <c r="A182" s="266"/>
      <c r="B182" s="266"/>
      <c r="C182" s="266"/>
      <c r="D182" s="266"/>
      <c r="E182" s="255"/>
    </row>
    <row r="183">
      <c r="A183" s="266"/>
      <c r="B183" s="266"/>
      <c r="C183" s="266"/>
      <c r="D183" s="266"/>
      <c r="E183" s="255"/>
    </row>
    <row r="184">
      <c r="A184" s="266"/>
      <c r="B184" s="266"/>
      <c r="C184" s="266"/>
      <c r="D184" s="266"/>
      <c r="E184" s="255"/>
    </row>
    <row r="185">
      <c r="A185" s="266"/>
      <c r="B185" s="266"/>
      <c r="C185" s="266"/>
      <c r="D185" s="266"/>
      <c r="E185" s="255"/>
    </row>
    <row r="186">
      <c r="A186" s="266"/>
      <c r="B186" s="266"/>
      <c r="C186" s="266"/>
      <c r="D186" s="266"/>
      <c r="E186" s="255"/>
    </row>
    <row r="187">
      <c r="A187" s="266"/>
      <c r="B187" s="266"/>
      <c r="C187" s="266"/>
      <c r="D187" s="266"/>
      <c r="E187" s="255"/>
    </row>
    <row r="188">
      <c r="A188" s="266"/>
      <c r="B188" s="266"/>
      <c r="C188" s="266"/>
      <c r="D188" s="266"/>
      <c r="E188" s="255"/>
    </row>
    <row r="189">
      <c r="A189" s="266"/>
      <c r="B189" s="266"/>
      <c r="C189" s="266"/>
      <c r="D189" s="266"/>
      <c r="E189" s="255"/>
    </row>
    <row r="190">
      <c r="A190" s="266"/>
      <c r="B190" s="266"/>
      <c r="C190" s="266"/>
      <c r="D190" s="266"/>
      <c r="E190" s="255"/>
    </row>
    <row r="191">
      <c r="A191" s="266"/>
      <c r="B191" s="266"/>
      <c r="C191" s="266"/>
      <c r="D191" s="266"/>
      <c r="E191" s="255"/>
    </row>
    <row r="192">
      <c r="A192" s="266"/>
      <c r="B192" s="266"/>
      <c r="C192" s="266"/>
      <c r="D192" s="266"/>
      <c r="E192" s="255"/>
    </row>
    <row r="193">
      <c r="A193" s="266"/>
      <c r="B193" s="266"/>
      <c r="C193" s="266"/>
      <c r="D193" s="266"/>
      <c r="E193" s="255"/>
    </row>
    <row r="194">
      <c r="A194" s="266"/>
      <c r="B194" s="266"/>
      <c r="C194" s="266"/>
      <c r="D194" s="266"/>
      <c r="E194" s="255"/>
    </row>
    <row r="195">
      <c r="A195" s="266"/>
      <c r="B195" s="266"/>
      <c r="C195" s="266"/>
      <c r="D195" s="266"/>
      <c r="E195" s="255"/>
    </row>
    <row r="196">
      <c r="A196" s="266"/>
      <c r="B196" s="266"/>
      <c r="C196" s="266"/>
      <c r="D196" s="266"/>
      <c r="E196" s="255"/>
    </row>
    <row r="197">
      <c r="A197" s="266"/>
      <c r="B197" s="266"/>
      <c r="C197" s="266"/>
      <c r="D197" s="266"/>
      <c r="E197" s="255"/>
    </row>
    <row r="198">
      <c r="A198" s="266"/>
      <c r="B198" s="266"/>
      <c r="C198" s="266"/>
      <c r="D198" s="266"/>
      <c r="E198" s="255"/>
    </row>
    <row r="199">
      <c r="A199" s="266"/>
      <c r="B199" s="266"/>
      <c r="C199" s="266"/>
      <c r="D199" s="266"/>
      <c r="E199" s="255"/>
    </row>
    <row r="200">
      <c r="A200" s="266"/>
      <c r="B200" s="266"/>
      <c r="C200" s="266"/>
      <c r="D200" s="266"/>
      <c r="E200" s="255"/>
    </row>
    <row r="201">
      <c r="A201" s="266"/>
      <c r="B201" s="266"/>
      <c r="C201" s="266"/>
      <c r="D201" s="266"/>
      <c r="E201" s="255"/>
    </row>
    <row r="202">
      <c r="A202" s="266"/>
      <c r="B202" s="266"/>
      <c r="C202" s="266"/>
      <c r="D202" s="266"/>
      <c r="E202" s="255"/>
    </row>
    <row r="203">
      <c r="A203" s="266"/>
      <c r="B203" s="266"/>
      <c r="C203" s="266"/>
      <c r="D203" s="266"/>
      <c r="E203" s="255"/>
    </row>
    <row r="204">
      <c r="A204" s="266"/>
      <c r="B204" s="266"/>
      <c r="C204" s="266"/>
      <c r="D204" s="266"/>
      <c r="E204" s="255"/>
    </row>
    <row r="205">
      <c r="A205" s="266"/>
      <c r="B205" s="266"/>
      <c r="C205" s="266"/>
      <c r="D205" s="266"/>
      <c r="E205" s="255"/>
    </row>
    <row r="206">
      <c r="A206" s="266"/>
      <c r="B206" s="266"/>
      <c r="C206" s="266"/>
      <c r="D206" s="266"/>
      <c r="E206" s="255"/>
    </row>
    <row r="207">
      <c r="A207" s="266"/>
      <c r="B207" s="266"/>
      <c r="C207" s="266"/>
      <c r="D207" s="266"/>
      <c r="E207" s="255"/>
    </row>
    <row r="208">
      <c r="A208" s="266"/>
      <c r="B208" s="266"/>
      <c r="C208" s="266"/>
      <c r="D208" s="266"/>
      <c r="E208" s="255"/>
    </row>
    <row r="209">
      <c r="A209" s="266"/>
      <c r="B209" s="266"/>
      <c r="C209" s="266"/>
      <c r="D209" s="266"/>
      <c r="E209" s="255"/>
    </row>
    <row r="210">
      <c r="A210" s="266"/>
      <c r="B210" s="266"/>
      <c r="C210" s="266"/>
      <c r="D210" s="266"/>
      <c r="E210" s="255"/>
    </row>
    <row r="211">
      <c r="A211" s="266"/>
      <c r="B211" s="266"/>
      <c r="C211" s="266"/>
      <c r="D211" s="266"/>
      <c r="E211" s="255"/>
    </row>
    <row r="212">
      <c r="A212" s="266"/>
      <c r="B212" s="266"/>
      <c r="C212" s="266"/>
      <c r="D212" s="266"/>
      <c r="E212" s="255"/>
    </row>
    <row r="213">
      <c r="A213" s="266"/>
      <c r="B213" s="266"/>
      <c r="C213" s="266"/>
      <c r="D213" s="266"/>
      <c r="E213" s="255"/>
    </row>
    <row r="214">
      <c r="A214" s="266"/>
      <c r="B214" s="266"/>
      <c r="C214" s="266"/>
      <c r="D214" s="266"/>
      <c r="E214" s="255"/>
    </row>
    <row r="215">
      <c r="A215" s="266"/>
      <c r="B215" s="266"/>
      <c r="C215" s="266"/>
      <c r="D215" s="266"/>
      <c r="E215" s="255"/>
    </row>
    <row r="216">
      <c r="A216" s="266"/>
      <c r="B216" s="266"/>
      <c r="C216" s="266"/>
      <c r="D216" s="266"/>
      <c r="E216" s="255"/>
    </row>
    <row r="217">
      <c r="A217" s="266"/>
      <c r="B217" s="266"/>
      <c r="C217" s="266"/>
      <c r="D217" s="266"/>
      <c r="E217" s="255"/>
    </row>
    <row r="218">
      <c r="A218" s="266"/>
      <c r="B218" s="266"/>
      <c r="C218" s="266"/>
      <c r="D218" s="266"/>
      <c r="E218" s="255"/>
    </row>
    <row r="219">
      <c r="A219" s="266"/>
      <c r="B219" s="266"/>
      <c r="C219" s="266"/>
      <c r="D219" s="266"/>
      <c r="E219" s="255"/>
    </row>
    <row r="220">
      <c r="A220" s="266"/>
      <c r="B220" s="266"/>
      <c r="C220" s="266"/>
      <c r="D220" s="266"/>
      <c r="E220" s="255"/>
    </row>
    <row r="221">
      <c r="A221" s="266"/>
      <c r="B221" s="266"/>
      <c r="C221" s="266"/>
      <c r="D221" s="266"/>
      <c r="E221" s="255"/>
    </row>
    <row r="222">
      <c r="A222" s="266"/>
      <c r="B222" s="266"/>
      <c r="C222" s="266"/>
      <c r="D222" s="266"/>
      <c r="E222" s="255"/>
    </row>
    <row r="223">
      <c r="A223" s="266"/>
      <c r="B223" s="266"/>
      <c r="C223" s="266"/>
      <c r="D223" s="266"/>
      <c r="E223" s="255"/>
    </row>
    <row r="224">
      <c r="A224" s="266"/>
      <c r="B224" s="266"/>
      <c r="C224" s="266"/>
      <c r="D224" s="266"/>
      <c r="E224" s="255"/>
    </row>
    <row r="225">
      <c r="A225" s="266"/>
      <c r="B225" s="266"/>
      <c r="C225" s="266"/>
      <c r="D225" s="266"/>
      <c r="E225" s="255"/>
    </row>
    <row r="226">
      <c r="A226" s="266"/>
      <c r="B226" s="266"/>
      <c r="C226" s="266"/>
      <c r="D226" s="266"/>
      <c r="E226" s="255"/>
    </row>
    <row r="227">
      <c r="A227" s="266"/>
      <c r="B227" s="266"/>
      <c r="C227" s="266"/>
      <c r="D227" s="266"/>
      <c r="E227" s="255"/>
    </row>
    <row r="228">
      <c r="A228" s="266"/>
      <c r="B228" s="266"/>
      <c r="C228" s="266"/>
      <c r="D228" s="266"/>
      <c r="E228" s="255"/>
    </row>
    <row r="229">
      <c r="A229" s="266"/>
      <c r="B229" s="266"/>
      <c r="C229" s="266"/>
      <c r="D229" s="266"/>
      <c r="E229" s="255"/>
    </row>
    <row r="230">
      <c r="A230" s="266"/>
      <c r="B230" s="266"/>
      <c r="C230" s="266"/>
      <c r="D230" s="266"/>
      <c r="E230" s="255"/>
    </row>
    <row r="231">
      <c r="A231" s="266"/>
      <c r="B231" s="266"/>
      <c r="C231" s="266"/>
      <c r="D231" s="266"/>
      <c r="E231" s="255"/>
    </row>
    <row r="232">
      <c r="A232" s="266"/>
      <c r="B232" s="266"/>
      <c r="C232" s="266"/>
      <c r="D232" s="266"/>
      <c r="E232" s="255"/>
    </row>
    <row r="233">
      <c r="A233" s="266"/>
      <c r="B233" s="266"/>
      <c r="C233" s="266"/>
      <c r="D233" s="266"/>
      <c r="E233" s="255"/>
    </row>
    <row r="234">
      <c r="A234" s="266"/>
      <c r="B234" s="266"/>
      <c r="C234" s="266"/>
      <c r="D234" s="266"/>
      <c r="E234" s="255"/>
    </row>
    <row r="235">
      <c r="A235" s="266"/>
      <c r="B235" s="266"/>
      <c r="C235" s="266"/>
      <c r="D235" s="266"/>
      <c r="E235" s="255"/>
    </row>
    <row r="236">
      <c r="A236" s="266"/>
      <c r="B236" s="266"/>
      <c r="C236" s="266"/>
      <c r="D236" s="266"/>
      <c r="E236" s="255"/>
    </row>
    <row r="237">
      <c r="A237" s="266"/>
      <c r="B237" s="266"/>
      <c r="C237" s="266"/>
      <c r="D237" s="266"/>
      <c r="E237" s="255"/>
    </row>
    <row r="238">
      <c r="A238" s="266"/>
      <c r="B238" s="266"/>
      <c r="C238" s="266"/>
      <c r="D238" s="266"/>
      <c r="E238" s="255"/>
    </row>
    <row r="239">
      <c r="A239" s="266"/>
      <c r="B239" s="266"/>
      <c r="C239" s="266"/>
      <c r="D239" s="266"/>
      <c r="E239" s="255"/>
    </row>
    <row r="240">
      <c r="A240" s="266"/>
      <c r="B240" s="266"/>
      <c r="C240" s="266"/>
      <c r="D240" s="266"/>
      <c r="E240" s="255"/>
    </row>
    <row r="241">
      <c r="A241" s="266"/>
      <c r="B241" s="266"/>
      <c r="C241" s="266"/>
      <c r="D241" s="266"/>
      <c r="E241" s="255"/>
    </row>
    <row r="242">
      <c r="A242" s="266"/>
      <c r="B242" s="266"/>
      <c r="C242" s="266"/>
      <c r="D242" s="266"/>
      <c r="E242" s="255"/>
    </row>
    <row r="243">
      <c r="A243" s="266"/>
      <c r="B243" s="266"/>
      <c r="C243" s="266"/>
      <c r="D243" s="266"/>
      <c r="E243" s="255"/>
    </row>
    <row r="244">
      <c r="A244" s="266"/>
      <c r="B244" s="266"/>
      <c r="C244" s="266"/>
      <c r="D244" s="266"/>
      <c r="E244" s="255"/>
    </row>
    <row r="245">
      <c r="A245" s="266"/>
      <c r="B245" s="266"/>
      <c r="C245" s="266"/>
      <c r="D245" s="266"/>
      <c r="E245" s="255"/>
    </row>
    <row r="246">
      <c r="A246" s="266"/>
      <c r="B246" s="266"/>
      <c r="C246" s="266"/>
      <c r="D246" s="266"/>
      <c r="E246" s="255"/>
    </row>
    <row r="247">
      <c r="A247" s="266"/>
      <c r="B247" s="266"/>
      <c r="C247" s="266"/>
      <c r="D247" s="266"/>
      <c r="E247" s="255"/>
    </row>
    <row r="248">
      <c r="A248" s="266"/>
      <c r="B248" s="266"/>
      <c r="C248" s="266"/>
      <c r="D248" s="266"/>
      <c r="E248" s="255"/>
    </row>
    <row r="249">
      <c r="A249" s="266"/>
      <c r="B249" s="266"/>
      <c r="C249" s="266"/>
      <c r="D249" s="266"/>
      <c r="E249" s="255"/>
    </row>
    <row r="250">
      <c r="A250" s="266"/>
      <c r="B250" s="266"/>
      <c r="C250" s="266"/>
      <c r="D250" s="266"/>
      <c r="E250" s="255"/>
    </row>
    <row r="251">
      <c r="A251" s="266"/>
      <c r="B251" s="266"/>
      <c r="C251" s="266"/>
      <c r="D251" s="266"/>
      <c r="E251" s="255"/>
    </row>
    <row r="252">
      <c r="A252" s="266"/>
      <c r="B252" s="266"/>
      <c r="C252" s="266"/>
      <c r="D252" s="266"/>
      <c r="E252" s="255"/>
    </row>
    <row r="253">
      <c r="A253" s="266"/>
      <c r="B253" s="266"/>
      <c r="C253" s="266"/>
      <c r="D253" s="266"/>
      <c r="E253" s="255"/>
    </row>
    <row r="254">
      <c r="A254" s="266"/>
      <c r="B254" s="266"/>
      <c r="C254" s="266"/>
      <c r="D254" s="266"/>
      <c r="E254" s="255"/>
    </row>
    <row r="255">
      <c r="A255" s="266"/>
      <c r="B255" s="266"/>
      <c r="C255" s="266"/>
      <c r="D255" s="266"/>
      <c r="E255" s="255"/>
    </row>
    <row r="256">
      <c r="A256" s="266"/>
      <c r="B256" s="266"/>
      <c r="C256" s="266"/>
      <c r="D256" s="266"/>
      <c r="E256" s="255"/>
    </row>
    <row r="257">
      <c r="A257" s="266"/>
      <c r="B257" s="266"/>
      <c r="C257" s="266"/>
      <c r="D257" s="266"/>
      <c r="E257" s="255"/>
    </row>
    <row r="258">
      <c r="A258" s="266"/>
      <c r="B258" s="266"/>
      <c r="C258" s="266"/>
      <c r="D258" s="266"/>
      <c r="E258" s="255"/>
    </row>
    <row r="259">
      <c r="A259" s="266"/>
      <c r="B259" s="266"/>
      <c r="C259" s="266"/>
      <c r="D259" s="266"/>
      <c r="E259" s="255"/>
    </row>
    <row r="260">
      <c r="A260" s="266"/>
      <c r="B260" s="266"/>
      <c r="C260" s="266"/>
      <c r="D260" s="266"/>
      <c r="E260" s="255"/>
    </row>
    <row r="261">
      <c r="A261" s="266"/>
      <c r="B261" s="266"/>
      <c r="C261" s="266"/>
      <c r="D261" s="266"/>
      <c r="E261" s="255"/>
    </row>
    <row r="262">
      <c r="A262" s="266"/>
      <c r="B262" s="266"/>
      <c r="C262" s="266"/>
      <c r="D262" s="266"/>
      <c r="E262" s="255"/>
    </row>
    <row r="263">
      <c r="A263" s="266"/>
      <c r="B263" s="266"/>
      <c r="C263" s="266"/>
      <c r="D263" s="266"/>
      <c r="E263" s="255"/>
    </row>
    <row r="264">
      <c r="A264" s="266"/>
      <c r="B264" s="266"/>
      <c r="C264" s="266"/>
      <c r="D264" s="266"/>
      <c r="E264" s="255"/>
    </row>
    <row r="265">
      <c r="A265" s="266"/>
      <c r="B265" s="266"/>
      <c r="C265" s="266"/>
      <c r="D265" s="266"/>
      <c r="E265" s="255"/>
    </row>
    <row r="266">
      <c r="A266" s="266"/>
      <c r="B266" s="266"/>
      <c r="C266" s="266"/>
      <c r="D266" s="266"/>
      <c r="E266" s="255"/>
    </row>
    <row r="267">
      <c r="A267" s="266"/>
      <c r="B267" s="266"/>
      <c r="C267" s="266"/>
      <c r="D267" s="266"/>
      <c r="E267" s="255"/>
    </row>
    <row r="268">
      <c r="A268" s="266"/>
      <c r="B268" s="266"/>
      <c r="C268" s="266"/>
      <c r="D268" s="266"/>
      <c r="E268" s="255"/>
    </row>
    <row r="269">
      <c r="A269" s="266"/>
      <c r="B269" s="266"/>
      <c r="C269" s="266"/>
      <c r="D269" s="266"/>
      <c r="E269" s="255"/>
    </row>
    <row r="270">
      <c r="A270" s="266"/>
      <c r="B270" s="266"/>
      <c r="C270" s="266"/>
      <c r="D270" s="266"/>
      <c r="E270" s="255"/>
    </row>
    <row r="271">
      <c r="A271" s="266"/>
      <c r="B271" s="266"/>
      <c r="C271" s="266"/>
      <c r="D271" s="266"/>
      <c r="E271" s="255"/>
    </row>
    <row r="272">
      <c r="A272" s="266"/>
      <c r="B272" s="266"/>
      <c r="C272" s="266"/>
      <c r="D272" s="266"/>
      <c r="E272" s="255"/>
    </row>
    <row r="273">
      <c r="A273" s="266"/>
      <c r="B273" s="266"/>
      <c r="C273" s="266"/>
      <c r="D273" s="266"/>
      <c r="E273" s="255"/>
    </row>
    <row r="274">
      <c r="A274" s="266"/>
      <c r="B274" s="266"/>
      <c r="C274" s="266"/>
      <c r="D274" s="266"/>
      <c r="E274" s="255"/>
    </row>
    <row r="275">
      <c r="A275" s="266"/>
      <c r="B275" s="266"/>
      <c r="C275" s="266"/>
      <c r="D275" s="266"/>
      <c r="E275" s="255"/>
    </row>
    <row r="276">
      <c r="A276" s="266"/>
      <c r="B276" s="266"/>
      <c r="C276" s="266"/>
      <c r="D276" s="266"/>
      <c r="E276" s="255"/>
    </row>
    <row r="277">
      <c r="A277" s="266"/>
      <c r="B277" s="266"/>
      <c r="C277" s="266"/>
      <c r="D277" s="266"/>
      <c r="E277" s="255"/>
    </row>
    <row r="278">
      <c r="A278" s="266"/>
      <c r="B278" s="266"/>
      <c r="C278" s="266"/>
      <c r="D278" s="266"/>
      <c r="E278" s="255"/>
    </row>
    <row r="279">
      <c r="A279" s="266"/>
      <c r="B279" s="266"/>
      <c r="C279" s="266"/>
      <c r="D279" s="266"/>
      <c r="E279" s="255"/>
    </row>
    <row r="280">
      <c r="A280" s="266"/>
      <c r="B280" s="266"/>
      <c r="C280" s="266"/>
      <c r="D280" s="266"/>
      <c r="E280" s="255"/>
    </row>
    <row r="281">
      <c r="A281" s="266"/>
      <c r="B281" s="266"/>
      <c r="C281" s="266"/>
      <c r="D281" s="266"/>
      <c r="E281" s="255"/>
    </row>
    <row r="282">
      <c r="A282" s="266"/>
      <c r="B282" s="266"/>
      <c r="C282" s="266"/>
      <c r="D282" s="266"/>
      <c r="E282" s="255"/>
    </row>
    <row r="283">
      <c r="A283" s="266"/>
      <c r="B283" s="266"/>
      <c r="C283" s="266"/>
      <c r="D283" s="266"/>
      <c r="E283" s="255"/>
    </row>
    <row r="284">
      <c r="A284" s="266"/>
      <c r="B284" s="266"/>
      <c r="C284" s="266"/>
      <c r="D284" s="266"/>
      <c r="E284" s="255"/>
    </row>
    <row r="285">
      <c r="A285" s="266"/>
      <c r="B285" s="266"/>
      <c r="C285" s="266"/>
      <c r="D285" s="266"/>
      <c r="E285" s="255"/>
    </row>
    <row r="286">
      <c r="A286" s="266"/>
      <c r="B286" s="266"/>
      <c r="C286" s="266"/>
      <c r="D286" s="266"/>
      <c r="E286" s="255"/>
    </row>
    <row r="287">
      <c r="A287" s="266"/>
      <c r="B287" s="266"/>
      <c r="C287" s="266"/>
      <c r="D287" s="266"/>
      <c r="E287" s="255"/>
    </row>
    <row r="288">
      <c r="A288" s="266"/>
      <c r="B288" s="266"/>
      <c r="C288" s="266"/>
      <c r="D288" s="266"/>
      <c r="E288" s="255"/>
    </row>
    <row r="289">
      <c r="A289" s="266"/>
      <c r="B289" s="266"/>
      <c r="C289" s="266"/>
      <c r="D289" s="266"/>
      <c r="E289" s="255"/>
    </row>
    <row r="290">
      <c r="A290" s="266"/>
      <c r="B290" s="266"/>
      <c r="C290" s="266"/>
      <c r="D290" s="266"/>
      <c r="E290" s="255"/>
    </row>
    <row r="291">
      <c r="A291" s="266"/>
      <c r="B291" s="266"/>
      <c r="C291" s="266"/>
      <c r="D291" s="266"/>
      <c r="E291" s="255"/>
    </row>
    <row r="292">
      <c r="A292" s="266"/>
      <c r="B292" s="266"/>
      <c r="C292" s="266"/>
      <c r="D292" s="266"/>
      <c r="E292" s="255"/>
    </row>
    <row r="293">
      <c r="A293" s="266"/>
      <c r="B293" s="266"/>
      <c r="C293" s="266"/>
      <c r="D293" s="266"/>
      <c r="E293" s="255"/>
    </row>
    <row r="294">
      <c r="A294" s="266"/>
      <c r="B294" s="266"/>
      <c r="C294" s="266"/>
      <c r="D294" s="266"/>
      <c r="E294" s="255"/>
    </row>
    <row r="295">
      <c r="A295" s="266"/>
      <c r="B295" s="266"/>
      <c r="C295" s="266"/>
      <c r="D295" s="266"/>
      <c r="E295" s="255"/>
    </row>
    <row r="296">
      <c r="A296" s="266"/>
      <c r="B296" s="266"/>
      <c r="C296" s="266"/>
      <c r="D296" s="266"/>
      <c r="E296" s="255"/>
    </row>
    <row r="297">
      <c r="A297" s="266"/>
      <c r="B297" s="266"/>
      <c r="C297" s="266"/>
      <c r="D297" s="266"/>
      <c r="E297" s="255"/>
    </row>
    <row r="298">
      <c r="A298" s="266"/>
      <c r="B298" s="266"/>
      <c r="C298" s="266"/>
      <c r="D298" s="266"/>
      <c r="E298" s="255"/>
    </row>
    <row r="299">
      <c r="A299" s="266"/>
      <c r="B299" s="266"/>
      <c r="C299" s="266"/>
      <c r="D299" s="266"/>
      <c r="E299" s="255"/>
    </row>
    <row r="300">
      <c r="A300" s="266"/>
      <c r="B300" s="266"/>
      <c r="C300" s="266"/>
      <c r="D300" s="266"/>
      <c r="E300" s="255"/>
    </row>
    <row r="301">
      <c r="A301" s="266"/>
      <c r="B301" s="266"/>
      <c r="C301" s="266"/>
      <c r="D301" s="266"/>
      <c r="E301" s="255"/>
    </row>
    <row r="302">
      <c r="A302" s="266"/>
      <c r="B302" s="266"/>
      <c r="C302" s="266"/>
      <c r="D302" s="266"/>
      <c r="E302" s="255"/>
    </row>
    <row r="303">
      <c r="A303" s="266"/>
      <c r="B303" s="266"/>
      <c r="C303" s="266"/>
      <c r="D303" s="266"/>
      <c r="E303" s="255"/>
    </row>
    <row r="304">
      <c r="A304" s="266"/>
      <c r="B304" s="266"/>
      <c r="C304" s="266"/>
      <c r="D304" s="266"/>
      <c r="E304" s="255"/>
    </row>
    <row r="305">
      <c r="A305" s="266"/>
      <c r="B305" s="266"/>
      <c r="C305" s="266"/>
      <c r="D305" s="266"/>
      <c r="E305" s="255"/>
    </row>
    <row r="306">
      <c r="A306" s="266"/>
      <c r="B306" s="266"/>
      <c r="C306" s="266"/>
      <c r="D306" s="266"/>
      <c r="E306" s="255"/>
    </row>
    <row r="307">
      <c r="A307" s="266"/>
      <c r="B307" s="266"/>
      <c r="C307" s="266"/>
      <c r="D307" s="266"/>
      <c r="E307" s="255"/>
    </row>
    <row r="308">
      <c r="A308" s="266"/>
      <c r="B308" s="266"/>
      <c r="C308" s="266"/>
      <c r="D308" s="266"/>
      <c r="E308" s="255"/>
    </row>
    <row r="309">
      <c r="A309" s="266"/>
      <c r="B309" s="266"/>
      <c r="C309" s="266"/>
      <c r="D309" s="266"/>
      <c r="E309" s="255"/>
    </row>
    <row r="310">
      <c r="A310" s="266"/>
      <c r="B310" s="266"/>
      <c r="C310" s="266"/>
      <c r="D310" s="266"/>
      <c r="E310" s="255"/>
    </row>
    <row r="311">
      <c r="A311" s="266"/>
      <c r="B311" s="266"/>
      <c r="C311" s="266"/>
      <c r="D311" s="266"/>
      <c r="E311" s="255"/>
    </row>
    <row r="312">
      <c r="A312" s="266"/>
      <c r="B312" s="266"/>
      <c r="C312" s="266"/>
      <c r="D312" s="266"/>
      <c r="E312" s="255"/>
    </row>
    <row r="313">
      <c r="A313" s="266"/>
      <c r="B313" s="266"/>
      <c r="C313" s="266"/>
      <c r="D313" s="266"/>
      <c r="E313" s="255"/>
    </row>
    <row r="314">
      <c r="A314" s="266"/>
      <c r="B314" s="266"/>
      <c r="C314" s="266"/>
      <c r="D314" s="266"/>
      <c r="E314" s="255"/>
    </row>
    <row r="315">
      <c r="A315" s="266"/>
      <c r="B315" s="266"/>
      <c r="C315" s="266"/>
      <c r="D315" s="266"/>
      <c r="E315" s="255"/>
    </row>
    <row r="316">
      <c r="A316" s="266"/>
      <c r="B316" s="266"/>
      <c r="C316" s="266"/>
      <c r="D316" s="266"/>
      <c r="E316" s="255"/>
    </row>
    <row r="317">
      <c r="A317" s="266"/>
      <c r="B317" s="266"/>
      <c r="C317" s="266"/>
      <c r="D317" s="266"/>
      <c r="E317" s="255"/>
    </row>
    <row r="318">
      <c r="A318" s="266"/>
      <c r="B318" s="266"/>
      <c r="C318" s="266"/>
      <c r="D318" s="266"/>
      <c r="E318" s="255"/>
    </row>
    <row r="319">
      <c r="A319" s="266"/>
      <c r="B319" s="266"/>
      <c r="C319" s="266"/>
      <c r="D319" s="266"/>
      <c r="E319" s="255"/>
    </row>
    <row r="320">
      <c r="A320" s="266"/>
      <c r="B320" s="266"/>
      <c r="C320" s="266"/>
      <c r="D320" s="266"/>
      <c r="E320" s="255"/>
    </row>
    <row r="321">
      <c r="A321" s="266"/>
      <c r="B321" s="266"/>
      <c r="C321" s="266"/>
      <c r="D321" s="266"/>
      <c r="E321" s="255"/>
    </row>
    <row r="322">
      <c r="A322" s="266"/>
      <c r="B322" s="266"/>
      <c r="C322" s="266"/>
      <c r="D322" s="266"/>
      <c r="E322" s="255"/>
    </row>
    <row r="323">
      <c r="A323" s="266"/>
      <c r="B323" s="266"/>
      <c r="C323" s="266"/>
      <c r="D323" s="266"/>
      <c r="E323" s="255"/>
    </row>
    <row r="324">
      <c r="A324" s="266"/>
      <c r="B324" s="266"/>
      <c r="C324" s="266"/>
      <c r="D324" s="266"/>
      <c r="E324" s="255"/>
    </row>
    <row r="325">
      <c r="A325" s="266"/>
      <c r="B325" s="266"/>
      <c r="C325" s="266"/>
      <c r="D325" s="266"/>
      <c r="E325" s="255"/>
    </row>
    <row r="326">
      <c r="A326" s="266"/>
      <c r="B326" s="266"/>
      <c r="C326" s="266"/>
      <c r="D326" s="266"/>
      <c r="E326" s="255"/>
    </row>
    <row r="327">
      <c r="A327" s="266"/>
      <c r="B327" s="266"/>
      <c r="C327" s="266"/>
      <c r="D327" s="266"/>
      <c r="E327" s="255"/>
    </row>
    <row r="328">
      <c r="A328" s="266"/>
      <c r="B328" s="266"/>
      <c r="C328" s="266"/>
      <c r="D328" s="266"/>
      <c r="E328" s="255"/>
    </row>
    <row r="329">
      <c r="A329" s="266"/>
      <c r="B329" s="266"/>
      <c r="C329" s="266"/>
      <c r="D329" s="266"/>
      <c r="E329" s="255"/>
    </row>
    <row r="330">
      <c r="A330" s="266"/>
      <c r="B330" s="266"/>
      <c r="C330" s="266"/>
      <c r="D330" s="266"/>
      <c r="E330" s="255"/>
    </row>
    <row r="331">
      <c r="A331" s="266"/>
      <c r="B331" s="266"/>
      <c r="C331" s="266"/>
      <c r="D331" s="266"/>
      <c r="E331" s="255"/>
    </row>
    <row r="332">
      <c r="A332" s="266"/>
      <c r="B332" s="266"/>
      <c r="C332" s="266"/>
      <c r="D332" s="266"/>
      <c r="E332" s="255"/>
    </row>
    <row r="333">
      <c r="A333" s="266"/>
      <c r="B333" s="266"/>
      <c r="C333" s="266"/>
      <c r="D333" s="266"/>
      <c r="E333" s="255"/>
    </row>
    <row r="334">
      <c r="A334" s="266"/>
      <c r="B334" s="266"/>
      <c r="C334" s="266"/>
      <c r="D334" s="266"/>
      <c r="E334" s="255"/>
    </row>
    <row r="335">
      <c r="A335" s="266"/>
      <c r="B335" s="266"/>
      <c r="C335" s="266"/>
      <c r="D335" s="266"/>
      <c r="E335" s="255"/>
    </row>
    <row r="336">
      <c r="A336" s="266"/>
      <c r="B336" s="266"/>
      <c r="C336" s="266"/>
      <c r="D336" s="266"/>
      <c r="E336" s="255"/>
    </row>
    <row r="337">
      <c r="A337" s="266"/>
      <c r="B337" s="266"/>
      <c r="C337" s="266"/>
      <c r="D337" s="266"/>
      <c r="E337" s="255"/>
    </row>
    <row r="338">
      <c r="A338" s="266"/>
      <c r="B338" s="266"/>
      <c r="C338" s="266"/>
      <c r="D338" s="266"/>
      <c r="E338" s="255"/>
    </row>
    <row r="339">
      <c r="A339" s="266"/>
      <c r="B339" s="266"/>
      <c r="C339" s="266"/>
      <c r="D339" s="266"/>
      <c r="E339" s="255"/>
    </row>
    <row r="340">
      <c r="A340" s="266"/>
      <c r="B340" s="266"/>
      <c r="C340" s="266"/>
      <c r="D340" s="266"/>
      <c r="E340" s="255"/>
    </row>
    <row r="341">
      <c r="A341" s="266"/>
      <c r="B341" s="266"/>
      <c r="C341" s="266"/>
      <c r="D341" s="266"/>
      <c r="E341" s="255"/>
    </row>
    <row r="342">
      <c r="A342" s="266"/>
      <c r="B342" s="266"/>
      <c r="C342" s="266"/>
      <c r="D342" s="266"/>
      <c r="E342" s="255"/>
    </row>
    <row r="343">
      <c r="A343" s="266"/>
      <c r="B343" s="266"/>
      <c r="C343" s="266"/>
      <c r="D343" s="266"/>
      <c r="E343" s="255"/>
    </row>
    <row r="344">
      <c r="A344" s="266"/>
      <c r="B344" s="266"/>
      <c r="C344" s="266"/>
      <c r="D344" s="266"/>
      <c r="E344" s="255"/>
    </row>
    <row r="345">
      <c r="A345" s="266"/>
      <c r="B345" s="266"/>
      <c r="C345" s="266"/>
      <c r="D345" s="266"/>
      <c r="E345" s="255"/>
    </row>
    <row r="346">
      <c r="A346" s="266"/>
      <c r="B346" s="266"/>
      <c r="C346" s="266"/>
      <c r="D346" s="266"/>
      <c r="E346" s="255"/>
    </row>
    <row r="347">
      <c r="A347" s="266"/>
      <c r="B347" s="266"/>
      <c r="C347" s="266"/>
      <c r="D347" s="266"/>
      <c r="E347" s="255"/>
    </row>
    <row r="348">
      <c r="A348" s="266"/>
      <c r="B348" s="266"/>
      <c r="C348" s="266"/>
      <c r="D348" s="266"/>
      <c r="E348" s="255"/>
    </row>
    <row r="349">
      <c r="A349" s="266"/>
      <c r="B349" s="266"/>
      <c r="C349" s="266"/>
      <c r="D349" s="266"/>
      <c r="E349" s="255"/>
    </row>
    <row r="350">
      <c r="A350" s="266"/>
      <c r="B350" s="266"/>
      <c r="C350" s="266"/>
      <c r="D350" s="266"/>
      <c r="E350" s="255"/>
    </row>
    <row r="351">
      <c r="A351" s="266"/>
      <c r="B351" s="266"/>
      <c r="C351" s="266"/>
      <c r="D351" s="266"/>
      <c r="E351" s="255"/>
    </row>
    <row r="352">
      <c r="A352" s="266"/>
      <c r="B352" s="266"/>
      <c r="C352" s="266"/>
      <c r="D352" s="266"/>
      <c r="E352" s="255"/>
    </row>
    <row r="353">
      <c r="A353" s="266"/>
      <c r="B353" s="266"/>
      <c r="C353" s="266"/>
      <c r="D353" s="266"/>
      <c r="E353" s="255"/>
    </row>
    <row r="354">
      <c r="A354" s="266"/>
      <c r="B354" s="266"/>
      <c r="C354" s="266"/>
      <c r="D354" s="266"/>
      <c r="E354" s="255"/>
    </row>
    <row r="355">
      <c r="A355" s="266"/>
      <c r="B355" s="266"/>
      <c r="C355" s="266"/>
      <c r="D355" s="266"/>
      <c r="E355" s="255"/>
    </row>
    <row r="356">
      <c r="A356" s="266"/>
      <c r="B356" s="266"/>
      <c r="C356" s="266"/>
      <c r="D356" s="266"/>
      <c r="E356" s="255"/>
    </row>
    <row r="357">
      <c r="A357" s="266"/>
      <c r="B357" s="266"/>
      <c r="C357" s="266"/>
      <c r="D357" s="266"/>
      <c r="E357" s="255"/>
    </row>
    <row r="358">
      <c r="A358" s="266"/>
      <c r="B358" s="266"/>
      <c r="C358" s="266"/>
      <c r="D358" s="266"/>
      <c r="E358" s="255"/>
    </row>
    <row r="359">
      <c r="A359" s="266"/>
      <c r="B359" s="266"/>
      <c r="C359" s="266"/>
      <c r="D359" s="266"/>
      <c r="E359" s="255"/>
    </row>
    <row r="360">
      <c r="A360" s="266"/>
      <c r="B360" s="266"/>
      <c r="C360" s="266"/>
      <c r="D360" s="266"/>
      <c r="E360" s="255"/>
    </row>
    <row r="361">
      <c r="A361" s="266"/>
      <c r="B361" s="266"/>
      <c r="C361" s="266"/>
      <c r="D361" s="266"/>
      <c r="E361" s="255"/>
    </row>
    <row r="362">
      <c r="A362" s="266"/>
      <c r="B362" s="266"/>
      <c r="C362" s="266"/>
      <c r="D362" s="266"/>
      <c r="E362" s="255"/>
    </row>
    <row r="363">
      <c r="A363" s="266"/>
      <c r="B363" s="266"/>
      <c r="C363" s="266"/>
      <c r="D363" s="266"/>
      <c r="E363" s="255"/>
    </row>
    <row r="364">
      <c r="A364" s="266"/>
      <c r="B364" s="266"/>
      <c r="C364" s="266"/>
      <c r="D364" s="266"/>
      <c r="E364" s="255"/>
    </row>
    <row r="365">
      <c r="A365" s="266"/>
      <c r="B365" s="266"/>
      <c r="C365" s="266"/>
      <c r="D365" s="266"/>
      <c r="E365" s="255"/>
    </row>
    <row r="366">
      <c r="A366" s="266"/>
      <c r="B366" s="266"/>
      <c r="C366" s="266"/>
      <c r="D366" s="266"/>
      <c r="E366" s="255"/>
    </row>
    <row r="367">
      <c r="A367" s="266"/>
      <c r="B367" s="266"/>
      <c r="C367" s="266"/>
      <c r="D367" s="266"/>
      <c r="E367" s="255"/>
    </row>
    <row r="368">
      <c r="A368" s="266"/>
      <c r="B368" s="266"/>
      <c r="C368" s="266"/>
      <c r="D368" s="266"/>
      <c r="E368" s="255"/>
    </row>
    <row r="369">
      <c r="A369" s="266"/>
      <c r="B369" s="266"/>
      <c r="C369" s="266"/>
      <c r="D369" s="266"/>
      <c r="E369" s="255"/>
    </row>
    <row r="370">
      <c r="A370" s="266"/>
      <c r="B370" s="266"/>
      <c r="C370" s="266"/>
      <c r="D370" s="266"/>
      <c r="E370" s="255"/>
    </row>
    <row r="371">
      <c r="A371" s="266"/>
      <c r="B371" s="266"/>
      <c r="C371" s="266"/>
      <c r="D371" s="266"/>
      <c r="E371" s="255"/>
    </row>
    <row r="372">
      <c r="A372" s="266"/>
      <c r="B372" s="266"/>
      <c r="C372" s="266"/>
      <c r="D372" s="266"/>
      <c r="E372" s="255"/>
    </row>
    <row r="373">
      <c r="A373" s="266"/>
      <c r="B373" s="266"/>
      <c r="C373" s="266"/>
      <c r="D373" s="266"/>
      <c r="E373" s="255"/>
    </row>
    <row r="374">
      <c r="A374" s="266"/>
      <c r="B374" s="266"/>
      <c r="C374" s="266"/>
      <c r="D374" s="266"/>
      <c r="E374" s="255"/>
    </row>
    <row r="375">
      <c r="A375" s="266"/>
      <c r="B375" s="266"/>
      <c r="C375" s="266"/>
      <c r="D375" s="266"/>
      <c r="E375" s="255"/>
    </row>
    <row r="376">
      <c r="A376" s="266"/>
      <c r="B376" s="266"/>
      <c r="C376" s="266"/>
      <c r="D376" s="266"/>
      <c r="E376" s="255"/>
    </row>
    <row r="377">
      <c r="A377" s="266"/>
      <c r="B377" s="266"/>
      <c r="C377" s="266"/>
      <c r="D377" s="266"/>
      <c r="E377" s="255"/>
    </row>
    <row r="378">
      <c r="A378" s="266"/>
      <c r="B378" s="266"/>
      <c r="C378" s="266"/>
      <c r="D378" s="266"/>
      <c r="E378" s="255"/>
    </row>
    <row r="379">
      <c r="A379" s="266"/>
      <c r="B379" s="266"/>
      <c r="C379" s="266"/>
      <c r="D379" s="266"/>
      <c r="E379" s="255"/>
    </row>
    <row r="380">
      <c r="A380" s="266"/>
      <c r="B380" s="266"/>
      <c r="C380" s="266"/>
      <c r="D380" s="266"/>
      <c r="E380" s="255"/>
    </row>
    <row r="381">
      <c r="A381" s="266"/>
      <c r="B381" s="266"/>
      <c r="C381" s="266"/>
      <c r="D381" s="266"/>
      <c r="E381" s="255"/>
    </row>
    <row r="382">
      <c r="A382" s="266"/>
      <c r="B382" s="266"/>
      <c r="C382" s="266"/>
      <c r="D382" s="266"/>
      <c r="E382" s="255"/>
    </row>
    <row r="383">
      <c r="A383" s="266"/>
      <c r="B383" s="266"/>
      <c r="C383" s="266"/>
      <c r="D383" s="266"/>
      <c r="E383" s="255"/>
    </row>
    <row r="384">
      <c r="A384" s="266"/>
      <c r="B384" s="266"/>
      <c r="C384" s="266"/>
      <c r="D384" s="266"/>
      <c r="E384" s="255"/>
    </row>
    <row r="385">
      <c r="A385" s="266"/>
      <c r="B385" s="266"/>
      <c r="C385" s="266"/>
      <c r="D385" s="266"/>
      <c r="E385" s="255"/>
    </row>
    <row r="386">
      <c r="A386" s="266"/>
      <c r="B386" s="266"/>
      <c r="C386" s="266"/>
      <c r="D386" s="266"/>
      <c r="E386" s="255"/>
    </row>
    <row r="387">
      <c r="A387" s="266"/>
      <c r="B387" s="266"/>
      <c r="C387" s="266"/>
      <c r="D387" s="266"/>
      <c r="E387" s="255"/>
    </row>
    <row r="388">
      <c r="A388" s="266"/>
      <c r="B388" s="266"/>
      <c r="C388" s="266"/>
      <c r="D388" s="266"/>
      <c r="E388" s="255"/>
    </row>
    <row r="389">
      <c r="A389" s="266"/>
      <c r="B389" s="266"/>
      <c r="C389" s="266"/>
      <c r="D389" s="266"/>
      <c r="E389" s="255"/>
    </row>
    <row r="390">
      <c r="A390" s="266"/>
      <c r="B390" s="266"/>
      <c r="C390" s="266"/>
      <c r="D390" s="266"/>
      <c r="E390" s="255"/>
    </row>
    <row r="391">
      <c r="A391" s="266"/>
      <c r="B391" s="266"/>
      <c r="C391" s="266"/>
      <c r="D391" s="266"/>
      <c r="E391" s="255"/>
    </row>
    <row r="392">
      <c r="A392" s="266"/>
      <c r="B392" s="266"/>
      <c r="C392" s="266"/>
      <c r="D392" s="266"/>
      <c r="E392" s="255"/>
    </row>
    <row r="393">
      <c r="A393" s="266"/>
      <c r="B393" s="266"/>
      <c r="C393" s="266"/>
      <c r="D393" s="266"/>
      <c r="E393" s="255"/>
    </row>
    <row r="394">
      <c r="A394" s="266"/>
      <c r="B394" s="266"/>
      <c r="C394" s="266"/>
      <c r="D394" s="266"/>
      <c r="E394" s="255"/>
    </row>
    <row r="395">
      <c r="A395" s="266"/>
      <c r="B395" s="266"/>
      <c r="C395" s="266"/>
      <c r="D395" s="266"/>
      <c r="E395" s="255"/>
    </row>
    <row r="396">
      <c r="A396" s="266"/>
      <c r="B396" s="266"/>
      <c r="C396" s="266"/>
      <c r="D396" s="266"/>
      <c r="E396" s="255"/>
    </row>
    <row r="397">
      <c r="A397" s="266"/>
      <c r="B397" s="266"/>
      <c r="C397" s="266"/>
      <c r="D397" s="266"/>
      <c r="E397" s="255"/>
    </row>
    <row r="398">
      <c r="A398" s="266"/>
      <c r="B398" s="266"/>
      <c r="C398" s="266"/>
      <c r="D398" s="266"/>
      <c r="E398" s="255"/>
    </row>
    <row r="399">
      <c r="A399" s="266"/>
      <c r="B399" s="266"/>
      <c r="C399" s="266"/>
      <c r="D399" s="266"/>
      <c r="E399" s="255"/>
    </row>
    <row r="400">
      <c r="A400" s="266"/>
      <c r="B400" s="266"/>
      <c r="C400" s="266"/>
      <c r="D400" s="266"/>
      <c r="E400" s="255"/>
    </row>
    <row r="401">
      <c r="A401" s="266"/>
      <c r="B401" s="266"/>
      <c r="C401" s="266"/>
      <c r="D401" s="266"/>
      <c r="E401" s="255"/>
    </row>
    <row r="402">
      <c r="A402" s="266"/>
      <c r="B402" s="266"/>
      <c r="C402" s="266"/>
      <c r="D402" s="266"/>
      <c r="E402" s="255"/>
    </row>
    <row r="403">
      <c r="A403" s="266"/>
      <c r="B403" s="266"/>
      <c r="C403" s="266"/>
      <c r="D403" s="266"/>
      <c r="E403" s="255"/>
    </row>
    <row r="404">
      <c r="A404" s="266"/>
      <c r="B404" s="266"/>
      <c r="C404" s="266"/>
      <c r="D404" s="266"/>
      <c r="E404" s="255"/>
    </row>
    <row r="405">
      <c r="A405" s="266"/>
      <c r="B405" s="266"/>
      <c r="C405" s="266"/>
      <c r="D405" s="266"/>
      <c r="E405" s="255"/>
    </row>
    <row r="406">
      <c r="A406" s="266"/>
      <c r="B406" s="266"/>
      <c r="C406" s="266"/>
      <c r="D406" s="266"/>
      <c r="E406" s="255"/>
    </row>
    <row r="407">
      <c r="A407" s="266"/>
      <c r="B407" s="266"/>
      <c r="C407" s="266"/>
      <c r="D407" s="266"/>
      <c r="E407" s="255"/>
    </row>
    <row r="408">
      <c r="A408" s="266"/>
      <c r="B408" s="266"/>
      <c r="C408" s="266"/>
      <c r="D408" s="266"/>
      <c r="E408" s="255"/>
    </row>
    <row r="409">
      <c r="A409" s="266"/>
      <c r="B409" s="266"/>
      <c r="C409" s="266"/>
      <c r="D409" s="266"/>
      <c r="E409" s="255"/>
    </row>
    <row r="410">
      <c r="A410" s="266"/>
      <c r="B410" s="266"/>
      <c r="C410" s="266"/>
      <c r="D410" s="266"/>
      <c r="E410" s="255"/>
    </row>
    <row r="411">
      <c r="A411" s="266"/>
      <c r="B411" s="266"/>
      <c r="C411" s="266"/>
      <c r="D411" s="266"/>
      <c r="E411" s="255"/>
    </row>
    <row r="412">
      <c r="A412" s="266"/>
      <c r="B412" s="266"/>
      <c r="C412" s="266"/>
      <c r="D412" s="266"/>
      <c r="E412" s="255"/>
    </row>
    <row r="413">
      <c r="A413" s="266"/>
      <c r="B413" s="266"/>
      <c r="C413" s="266"/>
      <c r="D413" s="266"/>
      <c r="E413" s="255"/>
    </row>
    <row r="414">
      <c r="A414" s="266"/>
      <c r="B414" s="266"/>
      <c r="C414" s="266"/>
      <c r="D414" s="266"/>
      <c r="E414" s="255"/>
    </row>
    <row r="415">
      <c r="A415" s="266"/>
      <c r="B415" s="266"/>
      <c r="C415" s="266"/>
      <c r="D415" s="266"/>
      <c r="E415" s="255"/>
    </row>
    <row r="416">
      <c r="A416" s="266"/>
      <c r="B416" s="266"/>
      <c r="C416" s="266"/>
      <c r="D416" s="266"/>
      <c r="E416" s="255"/>
    </row>
    <row r="417">
      <c r="A417" s="266"/>
      <c r="B417" s="266"/>
      <c r="C417" s="266"/>
      <c r="D417" s="266"/>
      <c r="E417" s="255"/>
    </row>
    <row r="418">
      <c r="A418" s="266"/>
      <c r="B418" s="266"/>
      <c r="C418" s="266"/>
      <c r="D418" s="266"/>
      <c r="E418" s="255"/>
    </row>
    <row r="419">
      <c r="A419" s="266"/>
      <c r="B419" s="266"/>
      <c r="C419" s="266"/>
      <c r="D419" s="266"/>
      <c r="E419" s="255"/>
    </row>
    <row r="420">
      <c r="A420" s="266"/>
      <c r="B420" s="266"/>
      <c r="C420" s="266"/>
      <c r="D420" s="266"/>
      <c r="E420" s="255"/>
    </row>
    <row r="421">
      <c r="A421" s="266"/>
      <c r="B421" s="266"/>
      <c r="C421" s="266"/>
      <c r="D421" s="266"/>
      <c r="E421" s="255"/>
    </row>
    <row r="422">
      <c r="A422" s="266"/>
      <c r="B422" s="266"/>
      <c r="C422" s="266"/>
      <c r="D422" s="266"/>
      <c r="E422" s="255"/>
    </row>
    <row r="423">
      <c r="A423" s="266"/>
      <c r="B423" s="266"/>
      <c r="C423" s="266"/>
      <c r="D423" s="266"/>
      <c r="E423" s="255"/>
    </row>
    <row r="424">
      <c r="A424" s="266"/>
      <c r="B424" s="266"/>
      <c r="C424" s="266"/>
      <c r="D424" s="266"/>
      <c r="E424" s="255"/>
    </row>
    <row r="425">
      <c r="A425" s="266"/>
      <c r="B425" s="266"/>
      <c r="C425" s="266"/>
      <c r="D425" s="266"/>
      <c r="E425" s="255"/>
    </row>
    <row r="426">
      <c r="A426" s="266"/>
      <c r="B426" s="266"/>
      <c r="C426" s="266"/>
      <c r="D426" s="266"/>
      <c r="E426" s="255"/>
    </row>
    <row r="427">
      <c r="A427" s="266"/>
      <c r="B427" s="266"/>
      <c r="C427" s="266"/>
      <c r="D427" s="266"/>
      <c r="E427" s="255"/>
    </row>
    <row r="428">
      <c r="A428" s="266"/>
      <c r="B428" s="266"/>
      <c r="C428" s="266"/>
      <c r="D428" s="266"/>
      <c r="E428" s="255"/>
    </row>
    <row r="429">
      <c r="A429" s="266"/>
      <c r="B429" s="266"/>
      <c r="C429" s="266"/>
      <c r="D429" s="266"/>
      <c r="E429" s="255"/>
    </row>
    <row r="430">
      <c r="A430" s="266"/>
      <c r="B430" s="266"/>
      <c r="C430" s="266"/>
      <c r="D430" s="266"/>
      <c r="E430" s="255"/>
    </row>
    <row r="431">
      <c r="A431" s="266"/>
      <c r="B431" s="266"/>
      <c r="C431" s="266"/>
      <c r="D431" s="266"/>
      <c r="E431" s="255"/>
    </row>
    <row r="432">
      <c r="A432" s="266"/>
      <c r="B432" s="266"/>
      <c r="C432" s="266"/>
      <c r="D432" s="266"/>
      <c r="E432" s="255"/>
    </row>
    <row r="433">
      <c r="A433" s="266"/>
      <c r="B433" s="266"/>
      <c r="C433" s="266"/>
      <c r="D433" s="266"/>
      <c r="E433" s="255"/>
    </row>
    <row r="434">
      <c r="A434" s="266"/>
      <c r="B434" s="266"/>
      <c r="C434" s="266"/>
      <c r="D434" s="266"/>
      <c r="E434" s="255"/>
    </row>
    <row r="435">
      <c r="A435" s="266"/>
      <c r="B435" s="266"/>
      <c r="C435" s="266"/>
      <c r="D435" s="266"/>
      <c r="E435" s="255"/>
    </row>
    <row r="436">
      <c r="A436" s="266"/>
      <c r="B436" s="266"/>
      <c r="C436" s="266"/>
      <c r="D436" s="266"/>
      <c r="E436" s="255"/>
    </row>
    <row r="437">
      <c r="A437" s="266"/>
      <c r="B437" s="266"/>
      <c r="C437" s="266"/>
      <c r="D437" s="266"/>
      <c r="E437" s="255"/>
    </row>
    <row r="438">
      <c r="A438" s="266"/>
      <c r="B438" s="266"/>
      <c r="C438" s="266"/>
      <c r="D438" s="266"/>
      <c r="E438" s="255"/>
    </row>
    <row r="439">
      <c r="A439" s="266"/>
      <c r="B439" s="266"/>
      <c r="C439" s="266"/>
      <c r="D439" s="266"/>
      <c r="E439" s="255"/>
    </row>
    <row r="440">
      <c r="A440" s="266"/>
      <c r="B440" s="266"/>
      <c r="C440" s="266"/>
      <c r="D440" s="266"/>
      <c r="E440" s="255"/>
    </row>
    <row r="441">
      <c r="A441" s="266"/>
      <c r="B441" s="266"/>
      <c r="C441" s="266"/>
      <c r="D441" s="266"/>
      <c r="E441" s="255"/>
    </row>
    <row r="442">
      <c r="A442" s="266"/>
      <c r="B442" s="266"/>
      <c r="C442" s="266"/>
      <c r="D442" s="266"/>
      <c r="E442" s="255"/>
    </row>
    <row r="443">
      <c r="A443" s="266"/>
      <c r="B443" s="266"/>
      <c r="C443" s="266"/>
      <c r="D443" s="266"/>
      <c r="E443" s="255"/>
    </row>
    <row r="444">
      <c r="A444" s="266"/>
      <c r="B444" s="266"/>
      <c r="C444" s="266"/>
      <c r="D444" s="266"/>
      <c r="E444" s="255"/>
    </row>
    <row r="445">
      <c r="A445" s="266"/>
      <c r="B445" s="266"/>
      <c r="C445" s="266"/>
      <c r="D445" s="266"/>
      <c r="E445" s="255"/>
    </row>
    <row r="446">
      <c r="A446" s="266"/>
      <c r="B446" s="266"/>
      <c r="C446" s="266"/>
      <c r="D446" s="266"/>
      <c r="E446" s="255"/>
    </row>
    <row r="447">
      <c r="A447" s="266"/>
      <c r="B447" s="266"/>
      <c r="C447" s="266"/>
      <c r="D447" s="266"/>
      <c r="E447" s="255"/>
    </row>
    <row r="448">
      <c r="A448" s="266"/>
      <c r="B448" s="266"/>
      <c r="C448" s="266"/>
      <c r="D448" s="266"/>
      <c r="E448" s="255"/>
    </row>
    <row r="449">
      <c r="A449" s="266"/>
      <c r="B449" s="266"/>
      <c r="C449" s="266"/>
      <c r="D449" s="266"/>
      <c r="E449" s="255"/>
    </row>
    <row r="450">
      <c r="A450" s="266"/>
      <c r="B450" s="266"/>
      <c r="C450" s="266"/>
      <c r="D450" s="266"/>
      <c r="E450" s="255"/>
    </row>
    <row r="451">
      <c r="A451" s="266"/>
      <c r="B451" s="266"/>
      <c r="C451" s="266"/>
      <c r="D451" s="266"/>
      <c r="E451" s="255"/>
    </row>
    <row r="452">
      <c r="A452" s="266"/>
      <c r="B452" s="266"/>
      <c r="C452" s="266"/>
      <c r="D452" s="266"/>
      <c r="E452" s="255"/>
    </row>
    <row r="453">
      <c r="A453" s="266"/>
      <c r="B453" s="266"/>
      <c r="C453" s="266"/>
      <c r="D453" s="266"/>
      <c r="E453" s="255"/>
    </row>
    <row r="454">
      <c r="A454" s="266"/>
      <c r="B454" s="266"/>
      <c r="C454" s="266"/>
      <c r="D454" s="266"/>
      <c r="E454" s="255"/>
    </row>
    <row r="455">
      <c r="A455" s="266"/>
      <c r="B455" s="266"/>
      <c r="C455" s="266"/>
      <c r="D455" s="266"/>
      <c r="E455" s="255"/>
    </row>
    <row r="456">
      <c r="A456" s="266"/>
      <c r="B456" s="266"/>
      <c r="C456" s="266"/>
      <c r="D456" s="266"/>
      <c r="E456" s="255"/>
    </row>
    <row r="457">
      <c r="A457" s="266"/>
      <c r="B457" s="266"/>
      <c r="C457" s="266"/>
      <c r="D457" s="266"/>
      <c r="E457" s="255"/>
    </row>
    <row r="458">
      <c r="A458" s="266"/>
      <c r="B458" s="266"/>
      <c r="C458" s="266"/>
      <c r="D458" s="266"/>
      <c r="E458" s="255"/>
    </row>
    <row r="459">
      <c r="A459" s="266"/>
      <c r="B459" s="266"/>
      <c r="C459" s="266"/>
      <c r="D459" s="266"/>
      <c r="E459" s="255"/>
    </row>
    <row r="460">
      <c r="A460" s="266"/>
      <c r="B460" s="266"/>
      <c r="C460" s="266"/>
      <c r="D460" s="266"/>
      <c r="E460" s="255"/>
    </row>
    <row r="461">
      <c r="A461" s="266"/>
      <c r="B461" s="266"/>
      <c r="C461" s="266"/>
      <c r="D461" s="266"/>
      <c r="E461" s="255"/>
    </row>
    <row r="462">
      <c r="A462" s="266"/>
      <c r="B462" s="266"/>
      <c r="C462" s="266"/>
      <c r="D462" s="266"/>
      <c r="E462" s="255"/>
    </row>
    <row r="463">
      <c r="A463" s="266"/>
      <c r="B463" s="266"/>
      <c r="C463" s="266"/>
      <c r="D463" s="266"/>
      <c r="E463" s="255"/>
    </row>
    <row r="464">
      <c r="A464" s="266"/>
      <c r="B464" s="266"/>
      <c r="C464" s="266"/>
      <c r="D464" s="266"/>
      <c r="E464" s="255"/>
    </row>
    <row r="465">
      <c r="A465" s="266"/>
      <c r="B465" s="266"/>
      <c r="C465" s="266"/>
      <c r="D465" s="266"/>
      <c r="E465" s="255"/>
    </row>
    <row r="466">
      <c r="A466" s="266"/>
      <c r="B466" s="266"/>
      <c r="C466" s="266"/>
      <c r="D466" s="266"/>
      <c r="E466" s="255"/>
    </row>
    <row r="467">
      <c r="A467" s="266"/>
      <c r="B467" s="266"/>
      <c r="C467" s="266"/>
      <c r="D467" s="266"/>
      <c r="E467" s="255"/>
    </row>
    <row r="468">
      <c r="A468" s="266"/>
      <c r="B468" s="266"/>
      <c r="C468" s="266"/>
      <c r="D468" s="266"/>
      <c r="E468" s="255"/>
    </row>
    <row r="469">
      <c r="A469" s="266"/>
      <c r="B469" s="266"/>
      <c r="C469" s="266"/>
      <c r="D469" s="266"/>
      <c r="E469" s="255"/>
    </row>
    <row r="470">
      <c r="A470" s="266"/>
      <c r="B470" s="266"/>
      <c r="C470" s="266"/>
      <c r="D470" s="266"/>
      <c r="E470" s="255"/>
    </row>
    <row r="471">
      <c r="A471" s="266"/>
      <c r="B471" s="266"/>
      <c r="C471" s="266"/>
      <c r="D471" s="266"/>
      <c r="E471" s="255"/>
    </row>
    <row r="472">
      <c r="A472" s="266"/>
      <c r="B472" s="266"/>
      <c r="C472" s="266"/>
      <c r="D472" s="266"/>
      <c r="E472" s="255"/>
    </row>
    <row r="473">
      <c r="A473" s="266"/>
      <c r="B473" s="266"/>
      <c r="C473" s="266"/>
      <c r="D473" s="266"/>
      <c r="E473" s="255"/>
    </row>
    <row r="474">
      <c r="A474" s="266"/>
      <c r="B474" s="266"/>
      <c r="C474" s="266"/>
      <c r="D474" s="266"/>
      <c r="E474" s="255"/>
    </row>
    <row r="475">
      <c r="A475" s="266"/>
      <c r="B475" s="266"/>
      <c r="C475" s="266"/>
      <c r="D475" s="266"/>
      <c r="E475" s="255"/>
    </row>
    <row r="476">
      <c r="A476" s="266"/>
      <c r="B476" s="266"/>
      <c r="C476" s="266"/>
      <c r="D476" s="266"/>
      <c r="E476" s="255"/>
    </row>
    <row r="477">
      <c r="A477" s="266"/>
      <c r="B477" s="266"/>
      <c r="C477" s="266"/>
      <c r="D477" s="266"/>
      <c r="E477" s="255"/>
    </row>
    <row r="478">
      <c r="A478" s="266"/>
      <c r="B478" s="266"/>
      <c r="C478" s="266"/>
      <c r="D478" s="266"/>
      <c r="E478" s="255"/>
    </row>
    <row r="479">
      <c r="A479" s="266"/>
      <c r="B479" s="266"/>
      <c r="C479" s="266"/>
      <c r="D479" s="266"/>
      <c r="E479" s="255"/>
    </row>
    <row r="480">
      <c r="A480" s="266"/>
      <c r="B480" s="266"/>
      <c r="C480" s="266"/>
      <c r="D480" s="266"/>
      <c r="E480" s="255"/>
    </row>
    <row r="481">
      <c r="A481" s="266"/>
      <c r="B481" s="266"/>
      <c r="C481" s="266"/>
      <c r="D481" s="266"/>
      <c r="E481" s="255"/>
    </row>
    <row r="482">
      <c r="A482" s="266"/>
      <c r="B482" s="266"/>
      <c r="C482" s="266"/>
      <c r="D482" s="266"/>
      <c r="E482" s="255"/>
    </row>
    <row r="483">
      <c r="A483" s="266"/>
      <c r="B483" s="266"/>
      <c r="C483" s="266"/>
      <c r="D483" s="266"/>
      <c r="E483" s="255"/>
    </row>
    <row r="484">
      <c r="A484" s="266"/>
      <c r="B484" s="266"/>
      <c r="C484" s="266"/>
      <c r="D484" s="266"/>
      <c r="E484" s="255"/>
    </row>
    <row r="485">
      <c r="A485" s="266"/>
      <c r="B485" s="266"/>
      <c r="C485" s="266"/>
      <c r="D485" s="266"/>
      <c r="E485" s="255"/>
    </row>
    <row r="486">
      <c r="A486" s="266"/>
      <c r="B486" s="266"/>
      <c r="C486" s="266"/>
      <c r="D486" s="266"/>
      <c r="E486" s="255"/>
    </row>
    <row r="487">
      <c r="A487" s="266"/>
      <c r="B487" s="266"/>
      <c r="C487" s="266"/>
      <c r="D487" s="266"/>
      <c r="E487" s="255"/>
    </row>
    <row r="488">
      <c r="A488" s="266"/>
      <c r="B488" s="266"/>
      <c r="C488" s="266"/>
      <c r="D488" s="266"/>
      <c r="E488" s="255"/>
    </row>
    <row r="489">
      <c r="A489" s="266"/>
      <c r="B489" s="266"/>
      <c r="C489" s="266"/>
      <c r="D489" s="266"/>
      <c r="E489" s="255"/>
    </row>
    <row r="490">
      <c r="A490" s="266"/>
      <c r="B490" s="266"/>
      <c r="C490" s="266"/>
      <c r="D490" s="266"/>
      <c r="E490" s="255"/>
    </row>
    <row r="491">
      <c r="A491" s="266"/>
      <c r="B491" s="266"/>
      <c r="C491" s="266"/>
      <c r="D491" s="266"/>
      <c r="E491" s="255"/>
    </row>
    <row r="492">
      <c r="A492" s="266"/>
      <c r="B492" s="266"/>
      <c r="C492" s="266"/>
      <c r="D492" s="266"/>
      <c r="E492" s="255"/>
    </row>
    <row r="493">
      <c r="A493" s="266"/>
      <c r="B493" s="266"/>
      <c r="C493" s="266"/>
      <c r="D493" s="266"/>
      <c r="E493" s="255"/>
    </row>
    <row r="494">
      <c r="A494" s="266"/>
      <c r="B494" s="266"/>
      <c r="C494" s="266"/>
      <c r="D494" s="266"/>
      <c r="E494" s="255"/>
    </row>
    <row r="495">
      <c r="A495" s="266"/>
      <c r="B495" s="266"/>
      <c r="C495" s="266"/>
      <c r="D495" s="266"/>
      <c r="E495" s="255"/>
    </row>
    <row r="496">
      <c r="A496" s="266"/>
      <c r="B496" s="266"/>
      <c r="C496" s="266"/>
      <c r="D496" s="266"/>
      <c r="E496" s="255"/>
    </row>
    <row r="497">
      <c r="A497" s="266"/>
      <c r="B497" s="266"/>
      <c r="C497" s="266"/>
      <c r="D497" s="266"/>
      <c r="E497" s="255"/>
    </row>
    <row r="498">
      <c r="A498" s="266"/>
      <c r="B498" s="266"/>
      <c r="C498" s="266"/>
      <c r="D498" s="266"/>
      <c r="E498" s="255"/>
    </row>
    <row r="499">
      <c r="A499" s="266"/>
      <c r="B499" s="266"/>
      <c r="C499" s="266"/>
      <c r="D499" s="266"/>
      <c r="E499" s="255"/>
    </row>
    <row r="500">
      <c r="A500" s="266"/>
      <c r="B500" s="266"/>
      <c r="C500" s="266"/>
      <c r="D500" s="266"/>
      <c r="E500" s="255"/>
    </row>
    <row r="501">
      <c r="A501" s="266"/>
      <c r="B501" s="266"/>
      <c r="C501" s="266"/>
      <c r="D501" s="266"/>
      <c r="E501" s="255"/>
    </row>
    <row r="502">
      <c r="A502" s="266"/>
      <c r="B502" s="266"/>
      <c r="C502" s="266"/>
      <c r="D502" s="266"/>
      <c r="E502" s="255"/>
    </row>
    <row r="503">
      <c r="A503" s="266"/>
      <c r="B503" s="266"/>
      <c r="C503" s="266"/>
      <c r="D503" s="266"/>
      <c r="E503" s="255"/>
    </row>
    <row r="504">
      <c r="A504" s="266"/>
      <c r="B504" s="266"/>
      <c r="C504" s="266"/>
      <c r="D504" s="266"/>
      <c r="E504" s="255"/>
    </row>
    <row r="505">
      <c r="A505" s="266"/>
      <c r="B505" s="266"/>
      <c r="C505" s="266"/>
      <c r="D505" s="266"/>
      <c r="E505" s="255"/>
    </row>
    <row r="506">
      <c r="A506" s="266"/>
      <c r="B506" s="266"/>
      <c r="C506" s="266"/>
      <c r="D506" s="266"/>
      <c r="E506" s="255"/>
    </row>
    <row r="507">
      <c r="A507" s="266"/>
      <c r="B507" s="266"/>
      <c r="C507" s="266"/>
      <c r="D507" s="266"/>
      <c r="E507" s="255"/>
    </row>
    <row r="508">
      <c r="A508" s="266"/>
      <c r="B508" s="266"/>
      <c r="C508" s="266"/>
      <c r="D508" s="266"/>
      <c r="E508" s="255"/>
    </row>
    <row r="509">
      <c r="A509" s="266"/>
      <c r="B509" s="266"/>
      <c r="C509" s="266"/>
      <c r="D509" s="266"/>
      <c r="E509" s="255"/>
    </row>
    <row r="510">
      <c r="A510" s="266"/>
      <c r="B510" s="266"/>
      <c r="C510" s="266"/>
      <c r="D510" s="266"/>
      <c r="E510" s="255"/>
    </row>
    <row r="511">
      <c r="A511" s="266"/>
      <c r="B511" s="266"/>
      <c r="C511" s="266"/>
      <c r="D511" s="266"/>
      <c r="E511" s="255"/>
    </row>
    <row r="512">
      <c r="A512" s="266"/>
      <c r="B512" s="266"/>
      <c r="C512" s="266"/>
      <c r="D512" s="266"/>
      <c r="E512" s="255"/>
    </row>
    <row r="513">
      <c r="A513" s="266"/>
      <c r="B513" s="266"/>
      <c r="C513" s="266"/>
      <c r="D513" s="266"/>
      <c r="E513" s="255"/>
    </row>
    <row r="514">
      <c r="A514" s="266"/>
      <c r="B514" s="266"/>
      <c r="C514" s="266"/>
      <c r="D514" s="266"/>
      <c r="E514" s="255"/>
    </row>
    <row r="515">
      <c r="A515" s="266"/>
      <c r="B515" s="266"/>
      <c r="C515" s="266"/>
      <c r="D515" s="266"/>
      <c r="E515" s="255"/>
    </row>
    <row r="516">
      <c r="A516" s="266"/>
      <c r="B516" s="266"/>
      <c r="C516" s="266"/>
      <c r="D516" s="266"/>
      <c r="E516" s="255"/>
    </row>
    <row r="517">
      <c r="A517" s="266"/>
      <c r="B517" s="266"/>
      <c r="C517" s="266"/>
      <c r="D517" s="266"/>
      <c r="E517" s="255"/>
    </row>
    <row r="518">
      <c r="A518" s="266"/>
      <c r="B518" s="266"/>
      <c r="C518" s="266"/>
      <c r="D518" s="266"/>
      <c r="E518" s="255"/>
    </row>
    <row r="519">
      <c r="A519" s="266"/>
      <c r="B519" s="266"/>
      <c r="C519" s="266"/>
      <c r="D519" s="266"/>
      <c r="E519" s="255"/>
    </row>
    <row r="520">
      <c r="A520" s="266"/>
      <c r="B520" s="266"/>
      <c r="C520" s="266"/>
      <c r="D520" s="266"/>
      <c r="E520" s="255"/>
    </row>
    <row r="521">
      <c r="A521" s="266"/>
      <c r="B521" s="266"/>
      <c r="C521" s="266"/>
      <c r="D521" s="266"/>
      <c r="E521" s="255"/>
    </row>
    <row r="522">
      <c r="A522" s="266"/>
      <c r="B522" s="266"/>
      <c r="C522" s="266"/>
      <c r="D522" s="266"/>
      <c r="E522" s="255"/>
    </row>
    <row r="523">
      <c r="A523" s="266"/>
      <c r="B523" s="266"/>
      <c r="C523" s="266"/>
      <c r="D523" s="266"/>
      <c r="E523" s="255"/>
    </row>
    <row r="524">
      <c r="A524" s="266"/>
      <c r="B524" s="266"/>
      <c r="C524" s="266"/>
      <c r="D524" s="266"/>
      <c r="E524" s="255"/>
    </row>
    <row r="525">
      <c r="A525" s="266"/>
      <c r="B525" s="266"/>
      <c r="C525" s="266"/>
      <c r="D525" s="266"/>
      <c r="E525" s="255"/>
    </row>
    <row r="526">
      <c r="A526" s="266"/>
      <c r="B526" s="266"/>
      <c r="C526" s="266"/>
      <c r="D526" s="266"/>
      <c r="E526" s="255"/>
    </row>
    <row r="527">
      <c r="A527" s="266"/>
      <c r="B527" s="266"/>
      <c r="C527" s="266"/>
      <c r="D527" s="266"/>
      <c r="E527" s="255"/>
    </row>
    <row r="528">
      <c r="A528" s="266"/>
      <c r="B528" s="266"/>
      <c r="C528" s="266"/>
      <c r="D528" s="266"/>
      <c r="E528" s="255"/>
    </row>
    <row r="529">
      <c r="A529" s="266"/>
      <c r="B529" s="266"/>
      <c r="C529" s="266"/>
      <c r="D529" s="266"/>
      <c r="E529" s="255"/>
    </row>
    <row r="530">
      <c r="A530" s="266"/>
      <c r="B530" s="266"/>
      <c r="C530" s="266"/>
      <c r="D530" s="266"/>
      <c r="E530" s="255"/>
    </row>
    <row r="531">
      <c r="A531" s="266"/>
      <c r="B531" s="266"/>
      <c r="C531" s="266"/>
      <c r="D531" s="266"/>
      <c r="E531" s="255"/>
    </row>
    <row r="532">
      <c r="A532" s="266"/>
      <c r="B532" s="266"/>
      <c r="C532" s="266"/>
      <c r="D532" s="266"/>
      <c r="E532" s="255"/>
    </row>
    <row r="533">
      <c r="A533" s="266"/>
      <c r="B533" s="266"/>
      <c r="C533" s="266"/>
      <c r="D533" s="266"/>
      <c r="E533" s="255"/>
    </row>
    <row r="534">
      <c r="A534" s="266"/>
      <c r="B534" s="266"/>
      <c r="C534" s="266"/>
      <c r="D534" s="266"/>
      <c r="E534" s="255"/>
    </row>
    <row r="535">
      <c r="A535" s="266"/>
      <c r="B535" s="266"/>
      <c r="C535" s="266"/>
      <c r="D535" s="266"/>
      <c r="E535" s="255"/>
    </row>
    <row r="536">
      <c r="A536" s="266"/>
      <c r="B536" s="266"/>
      <c r="C536" s="266"/>
      <c r="D536" s="266"/>
      <c r="E536" s="255"/>
    </row>
    <row r="537">
      <c r="A537" s="266"/>
      <c r="B537" s="266"/>
      <c r="C537" s="266"/>
      <c r="D537" s="266"/>
      <c r="E537" s="255"/>
    </row>
    <row r="538">
      <c r="A538" s="266"/>
      <c r="B538" s="266"/>
      <c r="C538" s="266"/>
      <c r="D538" s="266"/>
      <c r="E538" s="255"/>
    </row>
    <row r="539">
      <c r="A539" s="266"/>
      <c r="B539" s="266"/>
      <c r="C539" s="266"/>
      <c r="D539" s="266"/>
      <c r="E539" s="255"/>
    </row>
    <row r="540">
      <c r="A540" s="266"/>
      <c r="B540" s="266"/>
      <c r="C540" s="266"/>
      <c r="D540" s="266"/>
      <c r="E540" s="255"/>
    </row>
    <row r="541">
      <c r="A541" s="266"/>
      <c r="B541" s="266"/>
      <c r="C541" s="266"/>
      <c r="D541" s="266"/>
      <c r="E541" s="255"/>
    </row>
    <row r="542">
      <c r="A542" s="266"/>
      <c r="B542" s="266"/>
      <c r="C542" s="266"/>
      <c r="D542" s="266"/>
      <c r="E542" s="255"/>
    </row>
    <row r="543">
      <c r="A543" s="266"/>
      <c r="B543" s="266"/>
      <c r="C543" s="266"/>
      <c r="D543" s="266"/>
      <c r="E543" s="255"/>
    </row>
    <row r="544">
      <c r="A544" s="266"/>
      <c r="B544" s="266"/>
      <c r="C544" s="266"/>
      <c r="D544" s="266"/>
      <c r="E544" s="255"/>
    </row>
    <row r="545">
      <c r="A545" s="266"/>
      <c r="B545" s="266"/>
      <c r="C545" s="266"/>
      <c r="D545" s="266"/>
      <c r="E545" s="255"/>
    </row>
    <row r="546">
      <c r="A546" s="266"/>
      <c r="B546" s="266"/>
      <c r="C546" s="266"/>
      <c r="D546" s="266"/>
      <c r="E546" s="255"/>
    </row>
    <row r="547">
      <c r="A547" s="266"/>
      <c r="B547" s="266"/>
      <c r="C547" s="266"/>
      <c r="D547" s="266"/>
      <c r="E547" s="255"/>
    </row>
    <row r="548">
      <c r="A548" s="266"/>
      <c r="B548" s="266"/>
      <c r="C548" s="266"/>
      <c r="D548" s="266"/>
      <c r="E548" s="255"/>
    </row>
    <row r="549">
      <c r="A549" s="266"/>
      <c r="B549" s="266"/>
      <c r="C549" s="266"/>
      <c r="D549" s="266"/>
      <c r="E549" s="255"/>
    </row>
    <row r="550">
      <c r="A550" s="266"/>
      <c r="B550" s="266"/>
      <c r="C550" s="266"/>
      <c r="D550" s="266"/>
      <c r="E550" s="255"/>
    </row>
    <row r="551">
      <c r="A551" s="266"/>
      <c r="B551" s="266"/>
      <c r="C551" s="266"/>
      <c r="D551" s="266"/>
      <c r="E551" s="255"/>
    </row>
    <row r="552">
      <c r="A552" s="266"/>
      <c r="B552" s="266"/>
      <c r="C552" s="266"/>
      <c r="D552" s="266"/>
      <c r="E552" s="255"/>
    </row>
    <row r="553">
      <c r="A553" s="266"/>
      <c r="B553" s="266"/>
      <c r="C553" s="266"/>
      <c r="D553" s="266"/>
      <c r="E553" s="255"/>
    </row>
    <row r="554">
      <c r="A554" s="266"/>
      <c r="B554" s="266"/>
      <c r="C554" s="266"/>
      <c r="D554" s="266"/>
      <c r="E554" s="255"/>
    </row>
    <row r="555">
      <c r="A555" s="266"/>
      <c r="B555" s="266"/>
      <c r="C555" s="266"/>
      <c r="D555" s="266"/>
      <c r="E555" s="255"/>
    </row>
    <row r="556">
      <c r="A556" s="266"/>
      <c r="B556" s="266"/>
      <c r="C556" s="266"/>
      <c r="D556" s="266"/>
      <c r="E556" s="255"/>
    </row>
    <row r="557">
      <c r="A557" s="266"/>
      <c r="B557" s="266"/>
      <c r="C557" s="266"/>
      <c r="D557" s="266"/>
      <c r="E557" s="255"/>
    </row>
    <row r="558">
      <c r="A558" s="266"/>
      <c r="B558" s="266"/>
      <c r="C558" s="266"/>
      <c r="D558" s="266"/>
      <c r="E558" s="255"/>
    </row>
    <row r="559">
      <c r="A559" s="266"/>
      <c r="B559" s="266"/>
      <c r="C559" s="266"/>
      <c r="D559" s="266"/>
      <c r="E559" s="255"/>
    </row>
    <row r="560">
      <c r="A560" s="266"/>
      <c r="B560" s="266"/>
      <c r="C560" s="266"/>
      <c r="D560" s="266"/>
      <c r="E560" s="255"/>
    </row>
    <row r="561">
      <c r="A561" s="266"/>
      <c r="B561" s="266"/>
      <c r="C561" s="266"/>
      <c r="D561" s="266"/>
      <c r="E561" s="255"/>
    </row>
    <row r="562">
      <c r="A562" s="266"/>
      <c r="B562" s="266"/>
      <c r="C562" s="266"/>
      <c r="D562" s="266"/>
      <c r="E562" s="255"/>
    </row>
    <row r="563">
      <c r="A563" s="266"/>
      <c r="B563" s="266"/>
      <c r="C563" s="266"/>
      <c r="D563" s="266"/>
      <c r="E563" s="255"/>
    </row>
    <row r="564">
      <c r="A564" s="266"/>
      <c r="B564" s="266"/>
      <c r="C564" s="266"/>
      <c r="D564" s="266"/>
      <c r="E564" s="255"/>
    </row>
    <row r="565">
      <c r="A565" s="266"/>
      <c r="B565" s="266"/>
      <c r="C565" s="266"/>
      <c r="D565" s="266"/>
      <c r="E565" s="255"/>
    </row>
    <row r="566">
      <c r="A566" s="266"/>
      <c r="B566" s="266"/>
      <c r="C566" s="266"/>
      <c r="D566" s="266"/>
      <c r="E566" s="255"/>
    </row>
    <row r="567">
      <c r="A567" s="266"/>
      <c r="B567" s="266"/>
      <c r="C567" s="266"/>
      <c r="D567" s="266"/>
      <c r="E567" s="255"/>
    </row>
    <row r="568">
      <c r="A568" s="266"/>
      <c r="B568" s="266"/>
      <c r="C568" s="266"/>
      <c r="D568" s="266"/>
      <c r="E568" s="255"/>
    </row>
    <row r="569">
      <c r="A569" s="266"/>
      <c r="B569" s="266"/>
      <c r="C569" s="266"/>
      <c r="D569" s="266"/>
      <c r="E569" s="255"/>
    </row>
    <row r="570">
      <c r="A570" s="266"/>
      <c r="B570" s="266"/>
      <c r="C570" s="266"/>
      <c r="D570" s="266"/>
      <c r="E570" s="255"/>
    </row>
    <row r="571">
      <c r="A571" s="266"/>
      <c r="B571" s="266"/>
      <c r="C571" s="266"/>
      <c r="D571" s="266"/>
      <c r="E571" s="255"/>
    </row>
    <row r="572">
      <c r="A572" s="266"/>
      <c r="B572" s="266"/>
      <c r="C572" s="266"/>
      <c r="D572" s="266"/>
      <c r="E572" s="255"/>
    </row>
    <row r="573">
      <c r="A573" s="266"/>
      <c r="B573" s="266"/>
      <c r="C573" s="266"/>
      <c r="D573" s="266"/>
      <c r="E573" s="255"/>
    </row>
    <row r="574">
      <c r="A574" s="266"/>
      <c r="B574" s="266"/>
      <c r="C574" s="266"/>
      <c r="D574" s="266"/>
      <c r="E574" s="255"/>
    </row>
    <row r="575">
      <c r="A575" s="266"/>
      <c r="B575" s="266"/>
      <c r="C575" s="266"/>
      <c r="D575" s="266"/>
      <c r="E575" s="255"/>
    </row>
    <row r="576">
      <c r="A576" s="266"/>
      <c r="B576" s="266"/>
      <c r="C576" s="266"/>
      <c r="D576" s="266"/>
      <c r="E576" s="255"/>
    </row>
    <row r="577">
      <c r="A577" s="266"/>
      <c r="B577" s="266"/>
      <c r="C577" s="266"/>
      <c r="D577" s="266"/>
      <c r="E577" s="255"/>
    </row>
    <row r="578">
      <c r="A578" s="266"/>
      <c r="B578" s="266"/>
      <c r="C578" s="266"/>
      <c r="D578" s="266"/>
      <c r="E578" s="255"/>
    </row>
    <row r="579">
      <c r="A579" s="266"/>
      <c r="B579" s="266"/>
      <c r="C579" s="266"/>
      <c r="D579" s="266"/>
      <c r="E579" s="255"/>
    </row>
    <row r="580">
      <c r="A580" s="266"/>
      <c r="B580" s="266"/>
      <c r="C580" s="266"/>
      <c r="D580" s="266"/>
      <c r="E580" s="255"/>
    </row>
    <row r="581">
      <c r="A581" s="266"/>
      <c r="B581" s="266"/>
      <c r="C581" s="266"/>
      <c r="D581" s="266"/>
      <c r="E581" s="255"/>
    </row>
    <row r="582">
      <c r="A582" s="266"/>
      <c r="B582" s="266"/>
      <c r="C582" s="266"/>
      <c r="D582" s="266"/>
      <c r="E582" s="255"/>
    </row>
    <row r="583">
      <c r="A583" s="266"/>
      <c r="B583" s="266"/>
      <c r="C583" s="266"/>
      <c r="D583" s="266"/>
      <c r="E583" s="255"/>
    </row>
    <row r="584">
      <c r="A584" s="266"/>
      <c r="B584" s="266"/>
      <c r="C584" s="266"/>
      <c r="D584" s="266"/>
      <c r="E584" s="255"/>
    </row>
    <row r="585">
      <c r="A585" s="266"/>
      <c r="B585" s="266"/>
      <c r="C585" s="266"/>
      <c r="D585" s="266"/>
      <c r="E585" s="255"/>
    </row>
    <row r="586">
      <c r="A586" s="266"/>
      <c r="B586" s="266"/>
      <c r="C586" s="266"/>
      <c r="D586" s="266"/>
      <c r="E586" s="255"/>
    </row>
    <row r="587">
      <c r="A587" s="266"/>
      <c r="B587" s="266"/>
      <c r="C587" s="266"/>
      <c r="D587" s="266"/>
      <c r="E587" s="255"/>
    </row>
    <row r="588">
      <c r="A588" s="266"/>
      <c r="B588" s="266"/>
      <c r="C588" s="266"/>
      <c r="D588" s="266"/>
      <c r="E588" s="255"/>
    </row>
    <row r="589">
      <c r="A589" s="266"/>
      <c r="B589" s="266"/>
      <c r="C589" s="266"/>
      <c r="D589" s="266"/>
      <c r="E589" s="255"/>
    </row>
    <row r="590">
      <c r="A590" s="266"/>
      <c r="B590" s="266"/>
      <c r="C590" s="266"/>
      <c r="D590" s="266"/>
      <c r="E590" s="255"/>
    </row>
    <row r="591">
      <c r="A591" s="266"/>
      <c r="B591" s="266"/>
      <c r="C591" s="266"/>
      <c r="D591" s="266"/>
      <c r="E591" s="255"/>
    </row>
    <row r="592">
      <c r="A592" s="266"/>
      <c r="B592" s="266"/>
      <c r="C592" s="266"/>
      <c r="D592" s="266"/>
      <c r="E592" s="255"/>
    </row>
    <row r="593">
      <c r="A593" s="266"/>
      <c r="B593" s="266"/>
      <c r="C593" s="266"/>
      <c r="D593" s="266"/>
      <c r="E593" s="255"/>
    </row>
    <row r="594">
      <c r="A594" s="266"/>
      <c r="B594" s="266"/>
      <c r="C594" s="266"/>
      <c r="D594" s="266"/>
      <c r="E594" s="255"/>
    </row>
    <row r="595">
      <c r="A595" s="266"/>
      <c r="B595" s="266"/>
      <c r="C595" s="266"/>
      <c r="D595" s="266"/>
      <c r="E595" s="255"/>
    </row>
    <row r="596">
      <c r="A596" s="266"/>
      <c r="B596" s="266"/>
      <c r="C596" s="266"/>
      <c r="D596" s="266"/>
      <c r="E596" s="255"/>
    </row>
    <row r="597">
      <c r="A597" s="266"/>
      <c r="B597" s="266"/>
      <c r="C597" s="266"/>
      <c r="D597" s="266"/>
      <c r="E597" s="255"/>
    </row>
    <row r="598">
      <c r="A598" s="266"/>
      <c r="B598" s="266"/>
      <c r="C598" s="266"/>
      <c r="D598" s="266"/>
      <c r="E598" s="255"/>
    </row>
    <row r="599">
      <c r="A599" s="266"/>
      <c r="B599" s="266"/>
      <c r="C599" s="266"/>
      <c r="D599" s="266"/>
      <c r="E599" s="255"/>
    </row>
    <row r="600">
      <c r="A600" s="266"/>
      <c r="B600" s="266"/>
      <c r="C600" s="266"/>
      <c r="D600" s="266"/>
      <c r="E600" s="255"/>
    </row>
    <row r="601">
      <c r="A601" s="266"/>
      <c r="B601" s="266"/>
      <c r="C601" s="266"/>
      <c r="D601" s="266"/>
      <c r="E601" s="255"/>
    </row>
    <row r="602">
      <c r="A602" s="266"/>
      <c r="B602" s="266"/>
      <c r="C602" s="266"/>
      <c r="D602" s="266"/>
      <c r="E602" s="255"/>
    </row>
    <row r="603">
      <c r="A603" s="266"/>
      <c r="B603" s="266"/>
      <c r="C603" s="266"/>
      <c r="D603" s="266"/>
      <c r="E603" s="255"/>
    </row>
    <row r="604">
      <c r="A604" s="266"/>
      <c r="B604" s="266"/>
      <c r="C604" s="266"/>
      <c r="D604" s="266"/>
      <c r="E604" s="255"/>
    </row>
    <row r="605">
      <c r="A605" s="266"/>
      <c r="B605" s="266"/>
      <c r="C605" s="266"/>
      <c r="D605" s="266"/>
      <c r="E605" s="255"/>
    </row>
    <row r="606">
      <c r="A606" s="266"/>
      <c r="B606" s="266"/>
      <c r="C606" s="266"/>
      <c r="D606" s="266"/>
      <c r="E606" s="255"/>
    </row>
    <row r="607">
      <c r="A607" s="266"/>
      <c r="B607" s="266"/>
      <c r="C607" s="266"/>
      <c r="D607" s="266"/>
      <c r="E607" s="255"/>
    </row>
    <row r="608">
      <c r="A608" s="266"/>
      <c r="B608" s="266"/>
      <c r="C608" s="266"/>
      <c r="D608" s="266"/>
      <c r="E608" s="255"/>
    </row>
    <row r="609">
      <c r="A609" s="266"/>
      <c r="B609" s="266"/>
      <c r="C609" s="266"/>
      <c r="D609" s="266"/>
      <c r="E609" s="255"/>
    </row>
    <row r="610">
      <c r="A610" s="266"/>
      <c r="B610" s="266"/>
      <c r="C610" s="266"/>
      <c r="D610" s="266"/>
      <c r="E610" s="255"/>
    </row>
    <row r="611">
      <c r="A611" s="266"/>
      <c r="B611" s="266"/>
      <c r="C611" s="266"/>
      <c r="D611" s="266"/>
      <c r="E611" s="255"/>
    </row>
    <row r="612">
      <c r="A612" s="266"/>
      <c r="B612" s="266"/>
      <c r="C612" s="266"/>
      <c r="D612" s="266"/>
      <c r="E612" s="255"/>
    </row>
    <row r="613">
      <c r="A613" s="266"/>
      <c r="B613" s="266"/>
      <c r="C613" s="266"/>
      <c r="D613" s="266"/>
      <c r="E613" s="255"/>
    </row>
    <row r="614">
      <c r="A614" s="266"/>
      <c r="B614" s="266"/>
      <c r="C614" s="266"/>
      <c r="D614" s="266"/>
      <c r="E614" s="255"/>
    </row>
    <row r="615">
      <c r="A615" s="266"/>
      <c r="B615" s="266"/>
      <c r="C615" s="266"/>
      <c r="D615" s="266"/>
      <c r="E615" s="255"/>
    </row>
    <row r="616">
      <c r="A616" s="266"/>
      <c r="B616" s="266"/>
      <c r="C616" s="266"/>
      <c r="D616" s="266"/>
      <c r="E616" s="255"/>
    </row>
    <row r="617">
      <c r="A617" s="266"/>
      <c r="B617" s="266"/>
      <c r="C617" s="266"/>
      <c r="D617" s="266"/>
      <c r="E617" s="255"/>
    </row>
    <row r="618">
      <c r="A618" s="266"/>
      <c r="B618" s="266"/>
      <c r="C618" s="266"/>
      <c r="D618" s="266"/>
      <c r="E618" s="255"/>
    </row>
    <row r="619">
      <c r="A619" s="266"/>
      <c r="B619" s="266"/>
      <c r="C619" s="266"/>
      <c r="D619" s="266"/>
      <c r="E619" s="255"/>
    </row>
    <row r="620">
      <c r="A620" s="266"/>
      <c r="B620" s="266"/>
      <c r="C620" s="266"/>
      <c r="D620" s="266"/>
      <c r="E620" s="255"/>
    </row>
    <row r="621">
      <c r="A621" s="266"/>
      <c r="B621" s="266"/>
      <c r="C621" s="266"/>
      <c r="D621" s="266"/>
      <c r="E621" s="255"/>
    </row>
    <row r="622">
      <c r="A622" s="266"/>
      <c r="B622" s="266"/>
      <c r="C622" s="266"/>
      <c r="D622" s="266"/>
      <c r="E622" s="255"/>
    </row>
    <row r="623">
      <c r="A623" s="266"/>
      <c r="B623" s="266"/>
      <c r="C623" s="266"/>
      <c r="D623" s="266"/>
      <c r="E623" s="255"/>
    </row>
    <row r="624">
      <c r="A624" s="266"/>
      <c r="B624" s="266"/>
      <c r="C624" s="266"/>
      <c r="D624" s="266"/>
      <c r="E624" s="255"/>
    </row>
    <row r="625">
      <c r="A625" s="266"/>
      <c r="B625" s="266"/>
      <c r="C625" s="266"/>
      <c r="D625" s="266"/>
      <c r="E625" s="255"/>
    </row>
    <row r="626">
      <c r="A626" s="266"/>
      <c r="B626" s="266"/>
      <c r="C626" s="266"/>
      <c r="D626" s="266"/>
      <c r="E626" s="255"/>
    </row>
    <row r="627">
      <c r="A627" s="266"/>
      <c r="B627" s="266"/>
      <c r="C627" s="266"/>
      <c r="D627" s="266"/>
      <c r="E627" s="255"/>
    </row>
    <row r="628">
      <c r="A628" s="266"/>
      <c r="B628" s="266"/>
      <c r="C628" s="266"/>
      <c r="D628" s="266"/>
      <c r="E628" s="255"/>
    </row>
    <row r="629">
      <c r="A629" s="266"/>
      <c r="B629" s="266"/>
      <c r="C629" s="266"/>
      <c r="D629" s="266"/>
      <c r="E629" s="255"/>
    </row>
    <row r="630">
      <c r="A630" s="266"/>
      <c r="B630" s="266"/>
      <c r="C630" s="266"/>
      <c r="D630" s="266"/>
      <c r="E630" s="255"/>
    </row>
    <row r="631">
      <c r="A631" s="266"/>
      <c r="B631" s="266"/>
      <c r="C631" s="266"/>
      <c r="D631" s="266"/>
      <c r="E631" s="255"/>
    </row>
    <row r="632">
      <c r="A632" s="266"/>
      <c r="B632" s="266"/>
      <c r="C632" s="266"/>
      <c r="D632" s="266"/>
      <c r="E632" s="255"/>
    </row>
    <row r="633">
      <c r="A633" s="266"/>
      <c r="B633" s="266"/>
      <c r="C633" s="266"/>
      <c r="D633" s="266"/>
      <c r="E633" s="255"/>
    </row>
    <row r="634">
      <c r="A634" s="266"/>
      <c r="B634" s="266"/>
      <c r="C634" s="266"/>
      <c r="D634" s="266"/>
      <c r="E634" s="255"/>
    </row>
    <row r="635">
      <c r="A635" s="266"/>
      <c r="B635" s="266"/>
      <c r="C635" s="266"/>
      <c r="D635" s="266"/>
      <c r="E635" s="255"/>
    </row>
    <row r="636">
      <c r="A636" s="266"/>
      <c r="B636" s="266"/>
      <c r="C636" s="266"/>
      <c r="D636" s="266"/>
      <c r="E636" s="255"/>
    </row>
    <row r="637">
      <c r="A637" s="266"/>
      <c r="B637" s="266"/>
      <c r="C637" s="266"/>
      <c r="D637" s="266"/>
      <c r="E637" s="255"/>
    </row>
    <row r="638">
      <c r="A638" s="266"/>
      <c r="B638" s="266"/>
      <c r="C638" s="266"/>
      <c r="D638" s="266"/>
      <c r="E638" s="255"/>
    </row>
    <row r="639">
      <c r="A639" s="266"/>
      <c r="B639" s="266"/>
      <c r="C639" s="266"/>
      <c r="D639" s="266"/>
      <c r="E639" s="255"/>
    </row>
    <row r="640">
      <c r="A640" s="266"/>
      <c r="B640" s="266"/>
      <c r="C640" s="266"/>
      <c r="D640" s="266"/>
      <c r="E640" s="255"/>
    </row>
    <row r="641">
      <c r="A641" s="266"/>
      <c r="B641" s="266"/>
      <c r="C641" s="266"/>
      <c r="D641" s="266"/>
      <c r="E641" s="255"/>
    </row>
    <row r="642">
      <c r="A642" s="266"/>
      <c r="B642" s="266"/>
      <c r="C642" s="266"/>
      <c r="D642" s="266"/>
      <c r="E642" s="255"/>
    </row>
    <row r="643">
      <c r="A643" s="266"/>
      <c r="B643" s="266"/>
      <c r="C643" s="266"/>
      <c r="D643" s="266"/>
      <c r="E643" s="255"/>
    </row>
    <row r="644">
      <c r="A644" s="266"/>
      <c r="B644" s="266"/>
      <c r="C644" s="266"/>
      <c r="D644" s="266"/>
      <c r="E644" s="255"/>
    </row>
    <row r="645">
      <c r="A645" s="266"/>
      <c r="B645" s="266"/>
      <c r="C645" s="266"/>
      <c r="D645" s="266"/>
      <c r="E645" s="255"/>
    </row>
    <row r="646">
      <c r="A646" s="266"/>
      <c r="B646" s="266"/>
      <c r="C646" s="266"/>
      <c r="D646" s="266"/>
      <c r="E646" s="255"/>
    </row>
    <row r="647">
      <c r="A647" s="266"/>
      <c r="B647" s="266"/>
      <c r="C647" s="266"/>
      <c r="D647" s="266"/>
      <c r="E647" s="255"/>
    </row>
    <row r="648">
      <c r="A648" s="266"/>
      <c r="B648" s="266"/>
      <c r="C648" s="266"/>
      <c r="D648" s="266"/>
      <c r="E648" s="255"/>
    </row>
    <row r="649">
      <c r="A649" s="266"/>
      <c r="B649" s="266"/>
      <c r="C649" s="266"/>
      <c r="D649" s="266"/>
      <c r="E649" s="255"/>
    </row>
    <row r="650">
      <c r="A650" s="266"/>
      <c r="B650" s="266"/>
      <c r="C650" s="266"/>
      <c r="D650" s="266"/>
      <c r="E650" s="255"/>
    </row>
    <row r="651">
      <c r="A651" s="266"/>
      <c r="B651" s="266"/>
      <c r="C651" s="266"/>
      <c r="D651" s="266"/>
      <c r="E651" s="255"/>
    </row>
    <row r="652">
      <c r="A652" s="266"/>
      <c r="B652" s="266"/>
      <c r="C652" s="266"/>
      <c r="D652" s="266"/>
      <c r="E652" s="255"/>
    </row>
    <row r="653">
      <c r="A653" s="266"/>
      <c r="B653" s="266"/>
      <c r="C653" s="266"/>
      <c r="D653" s="266"/>
      <c r="E653" s="255"/>
    </row>
    <row r="654">
      <c r="A654" s="266"/>
      <c r="B654" s="266"/>
      <c r="C654" s="266"/>
      <c r="D654" s="266"/>
      <c r="E654" s="255"/>
    </row>
    <row r="655">
      <c r="A655" s="266"/>
      <c r="B655" s="266"/>
      <c r="C655" s="266"/>
      <c r="D655" s="266"/>
      <c r="E655" s="255"/>
    </row>
    <row r="656">
      <c r="A656" s="266"/>
      <c r="B656" s="266"/>
      <c r="C656" s="266"/>
      <c r="D656" s="266"/>
      <c r="E656" s="255"/>
    </row>
    <row r="657">
      <c r="A657" s="266"/>
      <c r="B657" s="266"/>
      <c r="C657" s="266"/>
      <c r="D657" s="266"/>
      <c r="E657" s="255"/>
    </row>
    <row r="658">
      <c r="A658" s="266"/>
      <c r="B658" s="266"/>
      <c r="C658" s="266"/>
      <c r="D658" s="266"/>
      <c r="E658" s="255"/>
    </row>
    <row r="659">
      <c r="A659" s="266"/>
      <c r="B659" s="266"/>
      <c r="C659" s="266"/>
      <c r="D659" s="266"/>
      <c r="E659" s="255"/>
    </row>
    <row r="660">
      <c r="A660" s="266"/>
      <c r="B660" s="266"/>
      <c r="C660" s="266"/>
      <c r="D660" s="266"/>
      <c r="E660" s="255"/>
    </row>
    <row r="661">
      <c r="A661" s="266"/>
      <c r="B661" s="266"/>
      <c r="C661" s="266"/>
      <c r="D661" s="266"/>
      <c r="E661" s="255"/>
    </row>
    <row r="662">
      <c r="A662" s="266"/>
      <c r="B662" s="266"/>
      <c r="C662" s="266"/>
      <c r="D662" s="266"/>
      <c r="E662" s="255"/>
    </row>
    <row r="663">
      <c r="A663" s="266"/>
      <c r="B663" s="266"/>
      <c r="C663" s="266"/>
      <c r="D663" s="266"/>
      <c r="E663" s="255"/>
    </row>
    <row r="664">
      <c r="A664" s="266"/>
      <c r="B664" s="266"/>
      <c r="C664" s="266"/>
      <c r="D664" s="266"/>
      <c r="E664" s="255"/>
    </row>
    <row r="665">
      <c r="A665" s="266"/>
      <c r="B665" s="266"/>
      <c r="C665" s="266"/>
      <c r="D665" s="266"/>
      <c r="E665" s="255"/>
    </row>
    <row r="666">
      <c r="A666" s="266"/>
      <c r="B666" s="266"/>
      <c r="C666" s="266"/>
      <c r="D666" s="266"/>
      <c r="E666" s="255"/>
    </row>
    <row r="667">
      <c r="A667" s="266"/>
      <c r="B667" s="266"/>
      <c r="C667" s="266"/>
      <c r="D667" s="266"/>
      <c r="E667" s="255"/>
    </row>
    <row r="668">
      <c r="A668" s="266"/>
      <c r="B668" s="266"/>
      <c r="C668" s="266"/>
      <c r="D668" s="266"/>
      <c r="E668" s="255"/>
    </row>
    <row r="669">
      <c r="A669" s="266"/>
      <c r="B669" s="266"/>
      <c r="C669" s="266"/>
      <c r="D669" s="266"/>
      <c r="E669" s="255"/>
    </row>
    <row r="670">
      <c r="A670" s="266"/>
      <c r="B670" s="266"/>
      <c r="C670" s="266"/>
      <c r="D670" s="266"/>
      <c r="E670" s="255"/>
    </row>
    <row r="671">
      <c r="A671" s="266"/>
      <c r="B671" s="266"/>
      <c r="C671" s="266"/>
      <c r="D671" s="266"/>
      <c r="E671" s="255"/>
    </row>
    <row r="672">
      <c r="A672" s="266"/>
      <c r="B672" s="266"/>
      <c r="C672" s="266"/>
      <c r="D672" s="266"/>
      <c r="E672" s="255"/>
    </row>
    <row r="673">
      <c r="A673" s="266"/>
      <c r="B673" s="266"/>
      <c r="C673" s="266"/>
      <c r="D673" s="266"/>
      <c r="E673" s="255"/>
    </row>
    <row r="674">
      <c r="A674" s="266"/>
      <c r="B674" s="266"/>
      <c r="C674" s="266"/>
      <c r="D674" s="266"/>
      <c r="E674" s="255"/>
    </row>
    <row r="675">
      <c r="A675" s="266"/>
      <c r="B675" s="266"/>
      <c r="C675" s="266"/>
      <c r="D675" s="266"/>
      <c r="E675" s="255"/>
    </row>
    <row r="676">
      <c r="A676" s="266"/>
      <c r="B676" s="266"/>
      <c r="C676" s="266"/>
      <c r="D676" s="266"/>
      <c r="E676" s="255"/>
    </row>
    <row r="677">
      <c r="A677" s="266"/>
      <c r="B677" s="266"/>
      <c r="C677" s="266"/>
      <c r="D677" s="266"/>
      <c r="E677" s="255"/>
    </row>
    <row r="678">
      <c r="A678" s="266"/>
      <c r="B678" s="266"/>
      <c r="C678" s="266"/>
      <c r="D678" s="266"/>
      <c r="E678" s="255"/>
    </row>
    <row r="679">
      <c r="A679" s="266"/>
      <c r="B679" s="266"/>
      <c r="C679" s="266"/>
      <c r="D679" s="266"/>
      <c r="E679" s="255"/>
    </row>
    <row r="680">
      <c r="A680" s="266"/>
      <c r="B680" s="266"/>
      <c r="C680" s="266"/>
      <c r="D680" s="266"/>
      <c r="E680" s="255"/>
    </row>
    <row r="681">
      <c r="A681" s="266"/>
      <c r="B681" s="266"/>
      <c r="C681" s="266"/>
      <c r="D681" s="266"/>
      <c r="E681" s="255"/>
    </row>
    <row r="682">
      <c r="A682" s="266"/>
      <c r="B682" s="266"/>
      <c r="C682" s="266"/>
      <c r="D682" s="266"/>
      <c r="E682" s="255"/>
    </row>
    <row r="683">
      <c r="A683" s="266"/>
      <c r="B683" s="266"/>
      <c r="C683" s="266"/>
      <c r="D683" s="266"/>
      <c r="E683" s="255"/>
    </row>
    <row r="684">
      <c r="A684" s="266"/>
      <c r="B684" s="266"/>
      <c r="C684" s="266"/>
      <c r="D684" s="266"/>
      <c r="E684" s="255"/>
    </row>
    <row r="685">
      <c r="A685" s="266"/>
      <c r="B685" s="266"/>
      <c r="C685" s="266"/>
      <c r="D685" s="266"/>
      <c r="E685" s="255"/>
    </row>
    <row r="686">
      <c r="A686" s="266"/>
      <c r="B686" s="266"/>
      <c r="C686" s="266"/>
      <c r="D686" s="266"/>
      <c r="E686" s="255"/>
    </row>
    <row r="687">
      <c r="A687" s="266"/>
      <c r="B687" s="266"/>
      <c r="C687" s="266"/>
      <c r="D687" s="266"/>
      <c r="E687" s="255"/>
    </row>
    <row r="688">
      <c r="A688" s="266"/>
      <c r="B688" s="266"/>
      <c r="C688" s="266"/>
      <c r="D688" s="266"/>
      <c r="E688" s="255"/>
    </row>
    <row r="689">
      <c r="A689" s="266"/>
      <c r="B689" s="266"/>
      <c r="C689" s="266"/>
      <c r="D689" s="266"/>
      <c r="E689" s="255"/>
    </row>
    <row r="690">
      <c r="A690" s="266"/>
      <c r="B690" s="266"/>
      <c r="C690" s="266"/>
      <c r="D690" s="266"/>
      <c r="E690" s="255"/>
    </row>
    <row r="691">
      <c r="A691" s="266"/>
      <c r="B691" s="266"/>
      <c r="C691" s="266"/>
      <c r="D691" s="266"/>
      <c r="E691" s="255"/>
    </row>
    <row r="692">
      <c r="A692" s="266"/>
      <c r="B692" s="266"/>
      <c r="C692" s="266"/>
      <c r="D692" s="266"/>
      <c r="E692" s="255"/>
    </row>
    <row r="693">
      <c r="A693" s="266"/>
      <c r="B693" s="266"/>
      <c r="C693" s="266"/>
      <c r="D693" s="266"/>
      <c r="E693" s="255"/>
    </row>
    <row r="694">
      <c r="A694" s="266"/>
      <c r="B694" s="266"/>
      <c r="C694" s="266"/>
      <c r="D694" s="266"/>
      <c r="E694" s="255"/>
    </row>
    <row r="695">
      <c r="A695" s="266"/>
      <c r="B695" s="266"/>
      <c r="C695" s="266"/>
      <c r="D695" s="266"/>
      <c r="E695" s="255"/>
    </row>
    <row r="696">
      <c r="A696" s="266"/>
      <c r="B696" s="266"/>
      <c r="C696" s="266"/>
      <c r="D696" s="266"/>
      <c r="E696" s="255"/>
    </row>
    <row r="697">
      <c r="A697" s="266"/>
      <c r="B697" s="266"/>
      <c r="C697" s="266"/>
      <c r="D697" s="266"/>
      <c r="E697" s="255"/>
    </row>
    <row r="698">
      <c r="A698" s="266"/>
      <c r="B698" s="266"/>
      <c r="C698" s="266"/>
      <c r="D698" s="266"/>
      <c r="E698" s="255"/>
    </row>
    <row r="699">
      <c r="A699" s="266"/>
      <c r="B699" s="266"/>
      <c r="C699" s="266"/>
      <c r="D699" s="266"/>
      <c r="E699" s="255"/>
    </row>
    <row r="700">
      <c r="A700" s="266"/>
      <c r="B700" s="266"/>
      <c r="C700" s="266"/>
      <c r="D700" s="266"/>
      <c r="E700" s="255"/>
    </row>
    <row r="701">
      <c r="A701" s="266"/>
      <c r="B701" s="266"/>
      <c r="C701" s="266"/>
      <c r="D701" s="266"/>
      <c r="E701" s="255"/>
    </row>
    <row r="702">
      <c r="A702" s="266"/>
      <c r="B702" s="266"/>
      <c r="C702" s="266"/>
      <c r="D702" s="266"/>
      <c r="E702" s="255"/>
    </row>
    <row r="703">
      <c r="A703" s="266"/>
      <c r="B703" s="266"/>
      <c r="C703" s="266"/>
      <c r="D703" s="266"/>
      <c r="E703" s="255"/>
    </row>
    <row r="704">
      <c r="A704" s="266"/>
      <c r="B704" s="266"/>
      <c r="C704" s="266"/>
      <c r="D704" s="266"/>
      <c r="E704" s="255"/>
    </row>
    <row r="705">
      <c r="A705" s="266"/>
      <c r="B705" s="266"/>
      <c r="C705" s="266"/>
      <c r="D705" s="266"/>
      <c r="E705" s="255"/>
    </row>
    <row r="706">
      <c r="A706" s="266"/>
      <c r="B706" s="266"/>
      <c r="C706" s="266"/>
      <c r="D706" s="266"/>
      <c r="E706" s="255"/>
    </row>
    <row r="707">
      <c r="A707" s="266"/>
      <c r="B707" s="266"/>
      <c r="C707" s="266"/>
      <c r="D707" s="266"/>
      <c r="E707" s="255"/>
    </row>
    <row r="708">
      <c r="A708" s="266"/>
      <c r="B708" s="266"/>
      <c r="C708" s="266"/>
      <c r="D708" s="266"/>
      <c r="E708" s="255"/>
    </row>
    <row r="709">
      <c r="A709" s="266"/>
      <c r="B709" s="266"/>
      <c r="C709" s="266"/>
      <c r="D709" s="266"/>
      <c r="E709" s="255"/>
    </row>
    <row r="710">
      <c r="A710" s="266"/>
      <c r="B710" s="266"/>
      <c r="C710" s="266"/>
      <c r="D710" s="266"/>
      <c r="E710" s="255"/>
    </row>
    <row r="711">
      <c r="A711" s="266"/>
      <c r="B711" s="266"/>
      <c r="C711" s="266"/>
      <c r="D711" s="266"/>
      <c r="E711" s="255"/>
    </row>
    <row r="712">
      <c r="A712" s="266"/>
      <c r="B712" s="266"/>
      <c r="C712" s="266"/>
      <c r="D712" s="266"/>
      <c r="E712" s="255"/>
    </row>
    <row r="713">
      <c r="A713" s="266"/>
      <c r="B713" s="266"/>
      <c r="C713" s="266"/>
      <c r="D713" s="266"/>
      <c r="E713" s="255"/>
    </row>
    <row r="714">
      <c r="A714" s="266"/>
      <c r="B714" s="266"/>
      <c r="C714" s="266"/>
      <c r="D714" s="266"/>
      <c r="E714" s="255"/>
    </row>
    <row r="715">
      <c r="A715" s="266"/>
      <c r="B715" s="266"/>
      <c r="C715" s="266"/>
      <c r="D715" s="266"/>
      <c r="E715" s="255"/>
    </row>
    <row r="716">
      <c r="A716" s="266"/>
      <c r="B716" s="266"/>
      <c r="C716" s="266"/>
      <c r="D716" s="266"/>
      <c r="E716" s="255"/>
    </row>
    <row r="717">
      <c r="A717" s="266"/>
      <c r="B717" s="266"/>
      <c r="C717" s="266"/>
      <c r="D717" s="266"/>
      <c r="E717" s="255"/>
    </row>
    <row r="718">
      <c r="A718" s="266"/>
      <c r="B718" s="266"/>
      <c r="C718" s="266"/>
      <c r="D718" s="266"/>
      <c r="E718" s="255"/>
    </row>
    <row r="719">
      <c r="A719" s="266"/>
      <c r="B719" s="266"/>
      <c r="C719" s="266"/>
      <c r="D719" s="266"/>
      <c r="E719" s="255"/>
    </row>
    <row r="720">
      <c r="A720" s="266"/>
      <c r="B720" s="266"/>
      <c r="C720" s="266"/>
      <c r="D720" s="266"/>
      <c r="E720" s="255"/>
    </row>
    <row r="721">
      <c r="A721" s="266"/>
      <c r="B721" s="266"/>
      <c r="C721" s="266"/>
      <c r="D721" s="266"/>
      <c r="E721" s="255"/>
    </row>
    <row r="722">
      <c r="A722" s="266"/>
      <c r="B722" s="266"/>
      <c r="C722" s="266"/>
      <c r="D722" s="266"/>
      <c r="E722" s="255"/>
    </row>
    <row r="723">
      <c r="A723" s="266"/>
      <c r="B723" s="266"/>
      <c r="C723" s="266"/>
      <c r="D723" s="266"/>
      <c r="E723" s="255"/>
    </row>
    <row r="724">
      <c r="A724" s="266"/>
      <c r="B724" s="266"/>
      <c r="C724" s="266"/>
      <c r="D724" s="266"/>
      <c r="E724" s="255"/>
    </row>
    <row r="725">
      <c r="A725" s="266"/>
      <c r="B725" s="266"/>
      <c r="C725" s="266"/>
      <c r="D725" s="266"/>
      <c r="E725" s="255"/>
    </row>
    <row r="726">
      <c r="A726" s="266"/>
      <c r="B726" s="266"/>
      <c r="C726" s="266"/>
      <c r="D726" s="266"/>
      <c r="E726" s="255"/>
    </row>
    <row r="727">
      <c r="A727" s="266"/>
      <c r="B727" s="266"/>
      <c r="C727" s="266"/>
      <c r="D727" s="266"/>
      <c r="E727" s="255"/>
    </row>
    <row r="728">
      <c r="A728" s="266"/>
      <c r="B728" s="266"/>
      <c r="C728" s="266"/>
      <c r="D728" s="266"/>
      <c r="E728" s="255"/>
    </row>
    <row r="729">
      <c r="A729" s="266"/>
      <c r="B729" s="266"/>
      <c r="C729" s="266"/>
      <c r="D729" s="266"/>
      <c r="E729" s="255"/>
    </row>
    <row r="730">
      <c r="A730" s="266"/>
      <c r="B730" s="266"/>
      <c r="C730" s="266"/>
      <c r="D730" s="266"/>
      <c r="E730" s="255"/>
    </row>
    <row r="731">
      <c r="A731" s="266"/>
      <c r="B731" s="266"/>
      <c r="C731" s="266"/>
      <c r="D731" s="266"/>
      <c r="E731" s="255"/>
    </row>
    <row r="732">
      <c r="A732" s="266"/>
      <c r="B732" s="266"/>
      <c r="C732" s="266"/>
      <c r="D732" s="266"/>
      <c r="E732" s="255"/>
    </row>
    <row r="733">
      <c r="A733" s="266"/>
      <c r="B733" s="266"/>
      <c r="C733" s="266"/>
      <c r="D733" s="266"/>
      <c r="E733" s="255"/>
    </row>
    <row r="734">
      <c r="A734" s="266"/>
      <c r="B734" s="266"/>
      <c r="C734" s="266"/>
      <c r="D734" s="266"/>
      <c r="E734" s="255"/>
    </row>
    <row r="735">
      <c r="A735" s="266"/>
      <c r="B735" s="266"/>
      <c r="C735" s="266"/>
      <c r="D735" s="266"/>
      <c r="E735" s="255"/>
    </row>
    <row r="736">
      <c r="A736" s="266"/>
      <c r="B736" s="266"/>
      <c r="C736" s="266"/>
      <c r="D736" s="266"/>
      <c r="E736" s="255"/>
    </row>
    <row r="737">
      <c r="A737" s="266"/>
      <c r="B737" s="266"/>
      <c r="C737" s="266"/>
      <c r="D737" s="266"/>
      <c r="E737" s="255"/>
    </row>
    <row r="738">
      <c r="A738" s="266"/>
      <c r="B738" s="266"/>
      <c r="C738" s="266"/>
      <c r="D738" s="266"/>
      <c r="E738" s="255"/>
    </row>
    <row r="739">
      <c r="A739" s="266"/>
      <c r="B739" s="266"/>
      <c r="C739" s="266"/>
      <c r="D739" s="266"/>
      <c r="E739" s="255"/>
    </row>
    <row r="740">
      <c r="A740" s="266"/>
      <c r="B740" s="266"/>
      <c r="C740" s="266"/>
      <c r="D740" s="266"/>
      <c r="E740" s="255"/>
    </row>
    <row r="741">
      <c r="A741" s="266"/>
      <c r="B741" s="266"/>
      <c r="C741" s="266"/>
      <c r="D741" s="266"/>
      <c r="E741" s="255"/>
    </row>
    <row r="742">
      <c r="A742" s="266"/>
      <c r="B742" s="266"/>
      <c r="C742" s="266"/>
      <c r="D742" s="266"/>
      <c r="E742" s="255"/>
    </row>
    <row r="743">
      <c r="A743" s="266"/>
      <c r="B743" s="266"/>
      <c r="C743" s="266"/>
      <c r="D743" s="266"/>
      <c r="E743" s="255"/>
    </row>
    <row r="744">
      <c r="A744" s="266"/>
      <c r="B744" s="266"/>
      <c r="C744" s="266"/>
      <c r="D744" s="266"/>
      <c r="E744" s="255"/>
    </row>
    <row r="745">
      <c r="A745" s="266"/>
      <c r="B745" s="266"/>
      <c r="C745" s="266"/>
      <c r="D745" s="266"/>
      <c r="E745" s="255"/>
    </row>
    <row r="746">
      <c r="A746" s="266"/>
      <c r="B746" s="266"/>
      <c r="C746" s="266"/>
      <c r="D746" s="266"/>
      <c r="E746" s="255"/>
    </row>
    <row r="747">
      <c r="A747" s="266"/>
      <c r="B747" s="266"/>
      <c r="C747" s="266"/>
      <c r="D747" s="266"/>
      <c r="E747" s="255"/>
    </row>
    <row r="748">
      <c r="A748" s="266"/>
      <c r="B748" s="266"/>
      <c r="C748" s="266"/>
      <c r="D748" s="266"/>
      <c r="E748" s="255"/>
    </row>
    <row r="749">
      <c r="A749" s="266"/>
      <c r="B749" s="266"/>
      <c r="C749" s="266"/>
      <c r="D749" s="266"/>
      <c r="E749" s="255"/>
    </row>
    <row r="750">
      <c r="A750" s="266"/>
      <c r="B750" s="266"/>
      <c r="C750" s="266"/>
      <c r="D750" s="266"/>
      <c r="E750" s="255"/>
    </row>
    <row r="751">
      <c r="A751" s="266"/>
      <c r="B751" s="266"/>
      <c r="C751" s="266"/>
      <c r="D751" s="266"/>
      <c r="E751" s="255"/>
    </row>
    <row r="752">
      <c r="A752" s="266"/>
      <c r="B752" s="266"/>
      <c r="C752" s="266"/>
      <c r="D752" s="266"/>
      <c r="E752" s="255"/>
    </row>
    <row r="753">
      <c r="A753" s="266"/>
      <c r="B753" s="266"/>
      <c r="C753" s="266"/>
      <c r="D753" s="266"/>
      <c r="E753" s="255"/>
    </row>
    <row r="754">
      <c r="A754" s="266"/>
      <c r="B754" s="266"/>
      <c r="C754" s="266"/>
      <c r="D754" s="266"/>
      <c r="E754" s="255"/>
    </row>
    <row r="755">
      <c r="A755" s="266"/>
      <c r="B755" s="266"/>
      <c r="C755" s="266"/>
      <c r="D755" s="266"/>
      <c r="E755" s="255"/>
    </row>
    <row r="756">
      <c r="A756" s="266"/>
      <c r="B756" s="266"/>
      <c r="C756" s="266"/>
      <c r="D756" s="266"/>
      <c r="E756" s="255"/>
    </row>
    <row r="757">
      <c r="A757" s="266"/>
      <c r="B757" s="266"/>
      <c r="C757" s="266"/>
      <c r="D757" s="266"/>
      <c r="E757" s="255"/>
    </row>
    <row r="758">
      <c r="A758" s="266"/>
      <c r="B758" s="266"/>
      <c r="C758" s="266"/>
      <c r="D758" s="266"/>
      <c r="E758" s="255"/>
    </row>
    <row r="759">
      <c r="A759" s="266"/>
      <c r="B759" s="266"/>
      <c r="C759" s="266"/>
      <c r="D759" s="266"/>
      <c r="E759" s="255"/>
    </row>
    <row r="760">
      <c r="A760" s="266"/>
      <c r="B760" s="266"/>
      <c r="C760" s="266"/>
      <c r="D760" s="266"/>
      <c r="E760" s="255"/>
    </row>
    <row r="761">
      <c r="A761" s="266"/>
      <c r="B761" s="266"/>
      <c r="C761" s="266"/>
      <c r="D761" s="266"/>
      <c r="E761" s="255"/>
    </row>
    <row r="762">
      <c r="A762" s="266"/>
      <c r="B762" s="266"/>
      <c r="C762" s="266"/>
      <c r="D762" s="266"/>
      <c r="E762" s="255"/>
    </row>
    <row r="763">
      <c r="A763" s="266"/>
      <c r="B763" s="266"/>
      <c r="C763" s="266"/>
      <c r="D763" s="266"/>
      <c r="E763" s="255"/>
    </row>
    <row r="764">
      <c r="A764" s="266"/>
      <c r="B764" s="266"/>
      <c r="C764" s="266"/>
      <c r="D764" s="266"/>
      <c r="E764" s="255"/>
    </row>
    <row r="765">
      <c r="A765" s="266"/>
      <c r="B765" s="266"/>
      <c r="C765" s="266"/>
      <c r="D765" s="266"/>
      <c r="E765" s="255"/>
    </row>
    <row r="766">
      <c r="A766" s="266"/>
      <c r="B766" s="266"/>
      <c r="C766" s="266"/>
      <c r="D766" s="266"/>
      <c r="E766" s="255"/>
    </row>
    <row r="767">
      <c r="A767" s="266"/>
      <c r="B767" s="266"/>
      <c r="C767" s="266"/>
      <c r="D767" s="266"/>
      <c r="E767" s="255"/>
    </row>
    <row r="768">
      <c r="A768" s="266"/>
      <c r="B768" s="266"/>
      <c r="C768" s="266"/>
      <c r="D768" s="266"/>
      <c r="E768" s="255"/>
    </row>
    <row r="769">
      <c r="A769" s="266"/>
      <c r="B769" s="266"/>
      <c r="C769" s="266"/>
      <c r="D769" s="266"/>
      <c r="E769" s="255"/>
    </row>
    <row r="770">
      <c r="A770" s="266"/>
      <c r="B770" s="266"/>
      <c r="C770" s="266"/>
      <c r="D770" s="266"/>
      <c r="E770" s="255"/>
    </row>
    <row r="771">
      <c r="A771" s="266"/>
      <c r="B771" s="266"/>
      <c r="C771" s="266"/>
      <c r="D771" s="266"/>
      <c r="E771" s="255"/>
    </row>
    <row r="772">
      <c r="A772" s="266"/>
      <c r="B772" s="266"/>
      <c r="C772" s="266"/>
      <c r="D772" s="266"/>
      <c r="E772" s="255"/>
    </row>
    <row r="773">
      <c r="A773" s="266"/>
      <c r="B773" s="266"/>
      <c r="C773" s="266"/>
      <c r="D773" s="266"/>
      <c r="E773" s="255"/>
    </row>
    <row r="774">
      <c r="A774" s="266"/>
      <c r="B774" s="266"/>
      <c r="C774" s="266"/>
      <c r="D774" s="266"/>
      <c r="E774" s="255"/>
    </row>
    <row r="775">
      <c r="A775" s="266"/>
      <c r="B775" s="266"/>
      <c r="C775" s="266"/>
      <c r="D775" s="266"/>
      <c r="E775" s="255"/>
    </row>
    <row r="776">
      <c r="A776" s="266"/>
      <c r="B776" s="266"/>
      <c r="C776" s="266"/>
      <c r="D776" s="266"/>
      <c r="E776" s="255"/>
    </row>
    <row r="777">
      <c r="A777" s="266"/>
      <c r="B777" s="266"/>
      <c r="C777" s="266"/>
      <c r="D777" s="266"/>
      <c r="E777" s="255"/>
    </row>
    <row r="778">
      <c r="A778" s="266"/>
      <c r="B778" s="266"/>
      <c r="C778" s="266"/>
      <c r="D778" s="266"/>
      <c r="E778" s="255"/>
    </row>
    <row r="779">
      <c r="A779" s="266"/>
      <c r="B779" s="266"/>
      <c r="C779" s="266"/>
      <c r="D779" s="266"/>
      <c r="E779" s="255"/>
    </row>
    <row r="780">
      <c r="A780" s="266"/>
      <c r="B780" s="266"/>
      <c r="C780" s="266"/>
      <c r="D780" s="266"/>
      <c r="E780" s="255"/>
    </row>
    <row r="781">
      <c r="A781" s="266"/>
      <c r="B781" s="266"/>
      <c r="C781" s="266"/>
      <c r="D781" s="266"/>
      <c r="E781" s="255"/>
    </row>
    <row r="782">
      <c r="A782" s="266"/>
      <c r="B782" s="266"/>
      <c r="C782" s="266"/>
      <c r="D782" s="266"/>
      <c r="E782" s="255"/>
    </row>
    <row r="783">
      <c r="A783" s="266"/>
      <c r="B783" s="266"/>
      <c r="C783" s="266"/>
      <c r="D783" s="266"/>
      <c r="E783" s="255"/>
    </row>
    <row r="784">
      <c r="A784" s="266"/>
      <c r="B784" s="266"/>
      <c r="C784" s="266"/>
      <c r="D784" s="266"/>
      <c r="E784" s="255"/>
    </row>
    <row r="785">
      <c r="A785" s="266"/>
      <c r="B785" s="266"/>
      <c r="C785" s="266"/>
      <c r="D785" s="266"/>
      <c r="E785" s="255"/>
    </row>
    <row r="786">
      <c r="A786" s="266"/>
      <c r="B786" s="266"/>
      <c r="C786" s="266"/>
      <c r="D786" s="266"/>
      <c r="E786" s="255"/>
    </row>
    <row r="787">
      <c r="A787" s="266"/>
      <c r="B787" s="266"/>
      <c r="C787" s="266"/>
      <c r="D787" s="266"/>
      <c r="E787" s="255"/>
    </row>
    <row r="788">
      <c r="A788" s="266"/>
      <c r="B788" s="266"/>
      <c r="C788" s="266"/>
      <c r="D788" s="266"/>
      <c r="E788" s="255"/>
    </row>
    <row r="789">
      <c r="A789" s="266"/>
      <c r="B789" s="266"/>
      <c r="C789" s="266"/>
      <c r="D789" s="266"/>
      <c r="E789" s="255"/>
    </row>
    <row r="790">
      <c r="A790" s="266"/>
      <c r="B790" s="266"/>
      <c r="C790" s="266"/>
      <c r="D790" s="266"/>
      <c r="E790" s="255"/>
    </row>
    <row r="791">
      <c r="A791" s="266"/>
      <c r="B791" s="266"/>
      <c r="C791" s="266"/>
      <c r="D791" s="266"/>
      <c r="E791" s="255"/>
    </row>
    <row r="792">
      <c r="A792" s="266"/>
      <c r="B792" s="266"/>
      <c r="C792" s="266"/>
      <c r="D792" s="266"/>
      <c r="E792" s="255"/>
    </row>
    <row r="793">
      <c r="A793" s="266"/>
      <c r="B793" s="266"/>
      <c r="C793" s="266"/>
      <c r="D793" s="266"/>
      <c r="E793" s="255"/>
    </row>
    <row r="794">
      <c r="A794" s="266"/>
      <c r="B794" s="266"/>
      <c r="C794" s="266"/>
      <c r="D794" s="266"/>
      <c r="E794" s="255"/>
    </row>
    <row r="795">
      <c r="A795" s="266"/>
      <c r="B795" s="266"/>
      <c r="C795" s="266"/>
      <c r="D795" s="266"/>
      <c r="E795" s="255"/>
    </row>
    <row r="796">
      <c r="A796" s="266"/>
      <c r="B796" s="266"/>
      <c r="C796" s="266"/>
      <c r="D796" s="266"/>
      <c r="E796" s="255"/>
    </row>
    <row r="797">
      <c r="A797" s="266"/>
      <c r="B797" s="266"/>
      <c r="C797" s="266"/>
      <c r="D797" s="266"/>
      <c r="E797" s="255"/>
    </row>
    <row r="798">
      <c r="A798" s="266"/>
      <c r="B798" s="266"/>
      <c r="C798" s="266"/>
      <c r="D798" s="266"/>
      <c r="E798" s="255"/>
    </row>
    <row r="799">
      <c r="A799" s="266"/>
      <c r="B799" s="266"/>
      <c r="C799" s="266"/>
      <c r="D799" s="266"/>
      <c r="E799" s="255"/>
    </row>
    <row r="800">
      <c r="A800" s="266"/>
      <c r="B800" s="266"/>
      <c r="C800" s="266"/>
      <c r="D800" s="266"/>
      <c r="E800" s="255"/>
    </row>
    <row r="801">
      <c r="A801" s="266"/>
      <c r="B801" s="266"/>
      <c r="C801" s="266"/>
      <c r="D801" s="266"/>
      <c r="E801" s="255"/>
    </row>
    <row r="802">
      <c r="A802" s="266"/>
      <c r="B802" s="266"/>
      <c r="C802" s="266"/>
      <c r="D802" s="266"/>
      <c r="E802" s="255"/>
    </row>
    <row r="803">
      <c r="A803" s="266"/>
      <c r="B803" s="266"/>
      <c r="C803" s="266"/>
      <c r="D803" s="266"/>
      <c r="E803" s="255"/>
    </row>
    <row r="804">
      <c r="A804" s="266"/>
      <c r="B804" s="266"/>
      <c r="C804" s="266"/>
      <c r="D804" s="266"/>
      <c r="E804" s="255"/>
    </row>
    <row r="805">
      <c r="A805" s="266"/>
      <c r="B805" s="266"/>
      <c r="C805" s="266"/>
      <c r="D805" s="266"/>
      <c r="E805" s="255"/>
    </row>
    <row r="806">
      <c r="A806" s="266"/>
      <c r="B806" s="266"/>
      <c r="C806" s="266"/>
      <c r="D806" s="266"/>
      <c r="E806" s="255"/>
    </row>
    <row r="807">
      <c r="A807" s="266"/>
      <c r="B807" s="266"/>
      <c r="C807" s="266"/>
      <c r="D807" s="266"/>
      <c r="E807" s="255"/>
    </row>
    <row r="808">
      <c r="A808" s="266"/>
      <c r="B808" s="266"/>
      <c r="C808" s="266"/>
      <c r="D808" s="266"/>
      <c r="E808" s="255"/>
    </row>
    <row r="809">
      <c r="A809" s="266"/>
      <c r="B809" s="266"/>
      <c r="C809" s="266"/>
      <c r="D809" s="266"/>
      <c r="E809" s="255"/>
    </row>
    <row r="810">
      <c r="A810" s="266"/>
      <c r="B810" s="266"/>
      <c r="C810" s="266"/>
      <c r="D810" s="266"/>
      <c r="E810" s="255"/>
    </row>
    <row r="811">
      <c r="A811" s="266"/>
      <c r="B811" s="266"/>
      <c r="C811" s="266"/>
      <c r="D811" s="266"/>
      <c r="E811" s="255"/>
    </row>
    <row r="812">
      <c r="A812" s="266"/>
      <c r="B812" s="266"/>
      <c r="C812" s="266"/>
      <c r="D812" s="266"/>
      <c r="E812" s="255"/>
    </row>
    <row r="813">
      <c r="A813" s="266"/>
      <c r="B813" s="266"/>
      <c r="C813" s="266"/>
      <c r="D813" s="266"/>
      <c r="E813" s="255"/>
    </row>
    <row r="814">
      <c r="A814" s="266"/>
      <c r="B814" s="266"/>
      <c r="C814" s="266"/>
      <c r="D814" s="266"/>
      <c r="E814" s="255"/>
    </row>
    <row r="815">
      <c r="A815" s="266"/>
      <c r="B815" s="266"/>
      <c r="C815" s="266"/>
      <c r="D815" s="266"/>
      <c r="E815" s="255"/>
    </row>
    <row r="816">
      <c r="A816" s="266"/>
      <c r="B816" s="266"/>
      <c r="C816" s="266"/>
      <c r="D816" s="266"/>
      <c r="E816" s="255"/>
    </row>
    <row r="817">
      <c r="A817" s="266"/>
      <c r="B817" s="266"/>
      <c r="C817" s="266"/>
      <c r="D817" s="266"/>
      <c r="E817" s="255"/>
    </row>
    <row r="818">
      <c r="A818" s="266"/>
      <c r="B818" s="266"/>
      <c r="C818" s="266"/>
      <c r="D818" s="266"/>
      <c r="E818" s="255"/>
    </row>
    <row r="819">
      <c r="A819" s="266"/>
      <c r="B819" s="266"/>
      <c r="C819" s="266"/>
      <c r="D819" s="266"/>
      <c r="E819" s="255"/>
    </row>
    <row r="820">
      <c r="A820" s="266"/>
      <c r="B820" s="266"/>
      <c r="C820" s="266"/>
      <c r="D820" s="266"/>
      <c r="E820" s="255"/>
    </row>
    <row r="821">
      <c r="A821" s="266"/>
      <c r="B821" s="266"/>
      <c r="C821" s="266"/>
      <c r="D821" s="266"/>
      <c r="E821" s="255"/>
    </row>
    <row r="822">
      <c r="A822" s="266"/>
      <c r="B822" s="266"/>
      <c r="C822" s="266"/>
      <c r="D822" s="266"/>
      <c r="E822" s="255"/>
    </row>
    <row r="823">
      <c r="A823" s="266"/>
      <c r="B823" s="266"/>
      <c r="C823" s="266"/>
      <c r="D823" s="266"/>
      <c r="E823" s="255"/>
    </row>
    <row r="824">
      <c r="A824" s="266"/>
      <c r="B824" s="266"/>
      <c r="C824" s="266"/>
      <c r="D824" s="266"/>
      <c r="E824" s="255"/>
    </row>
    <row r="825">
      <c r="A825" s="266"/>
      <c r="B825" s="266"/>
      <c r="C825" s="266"/>
      <c r="D825" s="266"/>
      <c r="E825" s="255"/>
    </row>
    <row r="826">
      <c r="A826" s="266"/>
      <c r="B826" s="266"/>
      <c r="C826" s="266"/>
      <c r="D826" s="266"/>
      <c r="E826" s="255"/>
    </row>
    <row r="827">
      <c r="A827" s="266"/>
      <c r="B827" s="266"/>
      <c r="C827" s="266"/>
      <c r="D827" s="266"/>
      <c r="E827" s="255"/>
    </row>
    <row r="828">
      <c r="A828" s="266"/>
      <c r="B828" s="266"/>
      <c r="C828" s="266"/>
      <c r="D828" s="266"/>
      <c r="E828" s="255"/>
    </row>
    <row r="829">
      <c r="A829" s="266"/>
      <c r="B829" s="266"/>
      <c r="C829" s="266"/>
      <c r="D829" s="266"/>
      <c r="E829" s="255"/>
    </row>
    <row r="830">
      <c r="A830" s="266"/>
      <c r="B830" s="266"/>
      <c r="C830" s="266"/>
      <c r="D830" s="266"/>
      <c r="E830" s="255"/>
    </row>
    <row r="831">
      <c r="A831" s="266"/>
      <c r="B831" s="266"/>
      <c r="C831" s="266"/>
      <c r="D831" s="266"/>
      <c r="E831" s="255"/>
    </row>
    <row r="832">
      <c r="A832" s="266"/>
      <c r="B832" s="266"/>
      <c r="C832" s="266"/>
      <c r="D832" s="266"/>
      <c r="E832" s="255"/>
    </row>
    <row r="833">
      <c r="A833" s="266"/>
      <c r="B833" s="266"/>
      <c r="C833" s="266"/>
      <c r="D833" s="266"/>
      <c r="E833" s="255"/>
    </row>
    <row r="834">
      <c r="A834" s="266"/>
      <c r="B834" s="266"/>
      <c r="C834" s="266"/>
      <c r="D834" s="266"/>
      <c r="E834" s="255"/>
    </row>
    <row r="835">
      <c r="A835" s="266"/>
      <c r="B835" s="266"/>
      <c r="C835" s="266"/>
      <c r="D835" s="266"/>
      <c r="E835" s="255"/>
    </row>
    <row r="836">
      <c r="A836" s="266"/>
      <c r="B836" s="266"/>
      <c r="C836" s="266"/>
      <c r="D836" s="266"/>
      <c r="E836" s="255"/>
    </row>
    <row r="837">
      <c r="A837" s="266"/>
      <c r="B837" s="266"/>
      <c r="C837" s="266"/>
      <c r="D837" s="266"/>
      <c r="E837" s="255"/>
    </row>
    <row r="838">
      <c r="A838" s="266"/>
      <c r="B838" s="266"/>
      <c r="C838" s="266"/>
      <c r="D838" s="266"/>
      <c r="E838" s="255"/>
    </row>
    <row r="839">
      <c r="A839" s="266"/>
      <c r="B839" s="266"/>
      <c r="C839" s="266"/>
      <c r="D839" s="266"/>
      <c r="E839" s="255"/>
    </row>
    <row r="840">
      <c r="A840" s="266"/>
      <c r="B840" s="266"/>
      <c r="C840" s="266"/>
      <c r="D840" s="266"/>
      <c r="E840" s="255"/>
    </row>
    <row r="841">
      <c r="A841" s="266"/>
      <c r="B841" s="266"/>
      <c r="C841" s="266"/>
      <c r="D841" s="266"/>
      <c r="E841" s="255"/>
    </row>
    <row r="842">
      <c r="A842" s="266"/>
      <c r="B842" s="266"/>
      <c r="C842" s="266"/>
      <c r="D842" s="266"/>
      <c r="E842" s="255"/>
    </row>
    <row r="843">
      <c r="A843" s="266"/>
      <c r="B843" s="266"/>
      <c r="C843" s="266"/>
      <c r="D843" s="266"/>
      <c r="E843" s="255"/>
    </row>
    <row r="844">
      <c r="A844" s="266"/>
      <c r="B844" s="266"/>
      <c r="C844" s="266"/>
      <c r="D844" s="266"/>
      <c r="E844" s="255"/>
    </row>
    <row r="845">
      <c r="A845" s="266"/>
      <c r="B845" s="266"/>
      <c r="C845" s="266"/>
      <c r="D845" s="266"/>
      <c r="E845" s="255"/>
    </row>
    <row r="846">
      <c r="A846" s="266"/>
      <c r="B846" s="266"/>
      <c r="C846" s="266"/>
      <c r="D846" s="266"/>
      <c r="E846" s="255"/>
    </row>
    <row r="847">
      <c r="A847" s="266"/>
      <c r="B847" s="266"/>
      <c r="C847" s="266"/>
      <c r="D847" s="266"/>
      <c r="E847" s="255"/>
    </row>
    <row r="848">
      <c r="A848" s="266"/>
      <c r="B848" s="266"/>
      <c r="C848" s="266"/>
      <c r="D848" s="266"/>
      <c r="E848" s="255"/>
    </row>
    <row r="849">
      <c r="A849" s="266"/>
      <c r="B849" s="266"/>
      <c r="C849" s="266"/>
      <c r="D849" s="266"/>
      <c r="E849" s="255"/>
    </row>
    <row r="850">
      <c r="A850" s="266"/>
      <c r="B850" s="266"/>
      <c r="C850" s="266"/>
      <c r="D850" s="266"/>
      <c r="E850" s="255"/>
    </row>
    <row r="851">
      <c r="A851" s="266"/>
      <c r="B851" s="266"/>
      <c r="C851" s="266"/>
      <c r="D851" s="266"/>
      <c r="E851" s="255"/>
    </row>
    <row r="852">
      <c r="A852" s="266"/>
      <c r="B852" s="266"/>
      <c r="C852" s="266"/>
      <c r="D852" s="266"/>
      <c r="E852" s="255"/>
    </row>
    <row r="853">
      <c r="A853" s="266"/>
      <c r="B853" s="266"/>
      <c r="C853" s="266"/>
      <c r="D853" s="266"/>
      <c r="E853" s="255"/>
    </row>
    <row r="854">
      <c r="A854" s="266"/>
      <c r="B854" s="266"/>
      <c r="C854" s="266"/>
      <c r="D854" s="266"/>
      <c r="E854" s="255"/>
    </row>
    <row r="855">
      <c r="A855" s="266"/>
      <c r="B855" s="266"/>
      <c r="C855" s="266"/>
      <c r="D855" s="266"/>
      <c r="E855" s="255"/>
    </row>
    <row r="856">
      <c r="A856" s="266"/>
      <c r="B856" s="266"/>
      <c r="C856" s="266"/>
      <c r="D856" s="266"/>
      <c r="E856" s="255"/>
    </row>
    <row r="857">
      <c r="A857" s="266"/>
      <c r="B857" s="266"/>
      <c r="C857" s="266"/>
      <c r="D857" s="266"/>
      <c r="E857" s="255"/>
    </row>
    <row r="858">
      <c r="A858" s="266"/>
      <c r="B858" s="266"/>
      <c r="C858" s="266"/>
      <c r="D858" s="266"/>
      <c r="E858" s="255"/>
    </row>
    <row r="859">
      <c r="A859" s="266"/>
      <c r="B859" s="266"/>
      <c r="C859" s="266"/>
      <c r="D859" s="266"/>
      <c r="E859" s="255"/>
    </row>
    <row r="860">
      <c r="A860" s="266"/>
      <c r="B860" s="266"/>
      <c r="C860" s="266"/>
      <c r="D860" s="266"/>
      <c r="E860" s="255"/>
    </row>
    <row r="861">
      <c r="A861" s="266"/>
      <c r="B861" s="266"/>
      <c r="C861" s="266"/>
      <c r="D861" s="266"/>
      <c r="E861" s="255"/>
    </row>
    <row r="862">
      <c r="A862" s="266"/>
      <c r="B862" s="266"/>
      <c r="C862" s="266"/>
      <c r="D862" s="266"/>
      <c r="E862" s="255"/>
    </row>
    <row r="863">
      <c r="A863" s="266"/>
      <c r="B863" s="266"/>
      <c r="C863" s="266"/>
      <c r="D863" s="266"/>
      <c r="E863" s="255"/>
    </row>
    <row r="864">
      <c r="A864" s="266"/>
      <c r="B864" s="266"/>
      <c r="C864" s="266"/>
      <c r="D864" s="266"/>
      <c r="E864" s="255"/>
    </row>
    <row r="865">
      <c r="A865" s="266"/>
      <c r="B865" s="266"/>
      <c r="C865" s="266"/>
      <c r="D865" s="266"/>
      <c r="E865" s="255"/>
    </row>
    <row r="866">
      <c r="A866" s="266"/>
      <c r="B866" s="266"/>
      <c r="C866" s="266"/>
      <c r="D866" s="266"/>
      <c r="E866" s="255"/>
    </row>
    <row r="867">
      <c r="A867" s="266"/>
      <c r="B867" s="266"/>
      <c r="C867" s="266"/>
      <c r="D867" s="266"/>
      <c r="E867" s="255"/>
    </row>
    <row r="868">
      <c r="A868" s="266"/>
      <c r="B868" s="266"/>
      <c r="C868" s="266"/>
      <c r="D868" s="266"/>
      <c r="E868" s="255"/>
    </row>
    <row r="869">
      <c r="A869" s="266"/>
      <c r="B869" s="266"/>
      <c r="C869" s="266"/>
      <c r="D869" s="266"/>
      <c r="E869" s="255"/>
    </row>
    <row r="870">
      <c r="A870" s="266"/>
      <c r="B870" s="266"/>
      <c r="C870" s="266"/>
      <c r="D870" s="266"/>
      <c r="E870" s="255"/>
    </row>
    <row r="871">
      <c r="A871" s="266"/>
      <c r="B871" s="266"/>
      <c r="C871" s="266"/>
      <c r="D871" s="266"/>
      <c r="E871" s="255"/>
    </row>
    <row r="872">
      <c r="A872" s="266"/>
      <c r="B872" s="266"/>
      <c r="C872" s="266"/>
      <c r="D872" s="266"/>
      <c r="E872" s="255"/>
    </row>
    <row r="873">
      <c r="A873" s="266"/>
      <c r="B873" s="266"/>
      <c r="C873" s="266"/>
      <c r="D873" s="266"/>
      <c r="E873" s="255"/>
    </row>
    <row r="874">
      <c r="A874" s="266"/>
      <c r="B874" s="266"/>
      <c r="C874" s="266"/>
      <c r="D874" s="266"/>
      <c r="E874" s="255"/>
    </row>
    <row r="875">
      <c r="A875" s="266"/>
      <c r="B875" s="266"/>
      <c r="C875" s="266"/>
      <c r="D875" s="266"/>
      <c r="E875" s="255"/>
    </row>
    <row r="876">
      <c r="A876" s="266"/>
      <c r="B876" s="266"/>
      <c r="C876" s="266"/>
      <c r="D876" s="266"/>
      <c r="E876" s="255"/>
    </row>
    <row r="877">
      <c r="A877" s="266"/>
      <c r="B877" s="266"/>
      <c r="C877" s="266"/>
      <c r="D877" s="266"/>
      <c r="E877" s="255"/>
    </row>
    <row r="878">
      <c r="A878" s="266"/>
      <c r="B878" s="266"/>
      <c r="C878" s="266"/>
      <c r="D878" s="266"/>
      <c r="E878" s="255"/>
    </row>
    <row r="879">
      <c r="A879" s="266"/>
      <c r="B879" s="266"/>
      <c r="C879" s="266"/>
      <c r="D879" s="266"/>
      <c r="E879" s="255"/>
    </row>
    <row r="880">
      <c r="A880" s="266"/>
      <c r="B880" s="266"/>
      <c r="C880" s="266"/>
      <c r="D880" s="266"/>
      <c r="E880" s="255"/>
    </row>
    <row r="881">
      <c r="A881" s="266"/>
      <c r="B881" s="266"/>
      <c r="C881" s="266"/>
      <c r="D881" s="266"/>
      <c r="E881" s="255"/>
    </row>
    <row r="882">
      <c r="A882" s="266"/>
      <c r="B882" s="266"/>
      <c r="C882" s="266"/>
      <c r="D882" s="266"/>
      <c r="E882" s="255"/>
    </row>
    <row r="883">
      <c r="A883" s="266"/>
      <c r="B883" s="266"/>
      <c r="C883" s="266"/>
      <c r="D883" s="266"/>
      <c r="E883" s="255"/>
    </row>
    <row r="884">
      <c r="A884" s="266"/>
      <c r="B884" s="266"/>
      <c r="C884" s="266"/>
      <c r="D884" s="266"/>
      <c r="E884" s="255"/>
    </row>
    <row r="885">
      <c r="A885" s="266"/>
      <c r="B885" s="266"/>
      <c r="C885" s="266"/>
      <c r="D885" s="266"/>
      <c r="E885" s="255"/>
    </row>
    <row r="886">
      <c r="A886" s="266"/>
      <c r="B886" s="266"/>
      <c r="C886" s="266"/>
      <c r="D886" s="266"/>
      <c r="E886" s="255"/>
    </row>
    <row r="887">
      <c r="A887" s="266"/>
      <c r="B887" s="266"/>
      <c r="C887" s="266"/>
      <c r="D887" s="266"/>
      <c r="E887" s="255"/>
    </row>
    <row r="888">
      <c r="A888" s="266"/>
      <c r="B888" s="266"/>
      <c r="C888" s="266"/>
      <c r="D888" s="266"/>
      <c r="E888" s="255"/>
    </row>
    <row r="889">
      <c r="A889" s="266"/>
      <c r="B889" s="266"/>
      <c r="C889" s="266"/>
      <c r="D889" s="266"/>
      <c r="E889" s="255"/>
    </row>
    <row r="890">
      <c r="A890" s="266"/>
      <c r="B890" s="266"/>
      <c r="C890" s="266"/>
      <c r="D890" s="266"/>
      <c r="E890" s="255"/>
    </row>
    <row r="891">
      <c r="A891" s="266"/>
      <c r="B891" s="266"/>
      <c r="C891" s="266"/>
      <c r="D891" s="266"/>
      <c r="E891" s="255"/>
    </row>
    <row r="892">
      <c r="A892" s="266"/>
      <c r="B892" s="266"/>
      <c r="C892" s="266"/>
      <c r="D892" s="266"/>
      <c r="E892" s="255"/>
    </row>
    <row r="893">
      <c r="A893" s="266"/>
      <c r="B893" s="266"/>
      <c r="C893" s="266"/>
      <c r="D893" s="266"/>
      <c r="E893" s="255"/>
    </row>
    <row r="894">
      <c r="A894" s="266"/>
      <c r="B894" s="266"/>
      <c r="C894" s="266"/>
      <c r="D894" s="266"/>
      <c r="E894" s="255"/>
    </row>
    <row r="895">
      <c r="A895" s="266"/>
      <c r="B895" s="266"/>
      <c r="C895" s="266"/>
      <c r="D895" s="266"/>
      <c r="E895" s="255"/>
    </row>
    <row r="896">
      <c r="A896" s="266"/>
      <c r="B896" s="266"/>
      <c r="C896" s="266"/>
      <c r="D896" s="266"/>
      <c r="E896" s="255"/>
    </row>
    <row r="897">
      <c r="A897" s="266"/>
      <c r="B897" s="266"/>
      <c r="C897" s="266"/>
      <c r="D897" s="266"/>
      <c r="E897" s="255"/>
    </row>
    <row r="898">
      <c r="A898" s="266"/>
      <c r="B898" s="266"/>
      <c r="C898" s="266"/>
      <c r="D898" s="266"/>
      <c r="E898" s="255"/>
    </row>
    <row r="899">
      <c r="A899" s="266"/>
      <c r="B899" s="266"/>
      <c r="C899" s="266"/>
      <c r="D899" s="266"/>
      <c r="E899" s="255"/>
    </row>
    <row r="900">
      <c r="A900" s="266"/>
      <c r="B900" s="266"/>
      <c r="C900" s="266"/>
      <c r="D900" s="266"/>
      <c r="E900" s="255"/>
    </row>
    <row r="901">
      <c r="A901" s="266"/>
      <c r="B901" s="266"/>
      <c r="C901" s="266"/>
      <c r="D901" s="266"/>
      <c r="E901" s="255"/>
    </row>
    <row r="902">
      <c r="A902" s="266"/>
      <c r="B902" s="266"/>
      <c r="C902" s="266"/>
      <c r="D902" s="266"/>
      <c r="E902" s="255"/>
    </row>
    <row r="903">
      <c r="A903" s="266"/>
      <c r="B903" s="266"/>
      <c r="C903" s="266"/>
      <c r="D903" s="266"/>
      <c r="E903" s="255"/>
    </row>
    <row r="904">
      <c r="A904" s="266"/>
      <c r="B904" s="266"/>
      <c r="C904" s="266"/>
      <c r="D904" s="266"/>
      <c r="E904" s="255"/>
    </row>
    <row r="905">
      <c r="A905" s="266"/>
      <c r="B905" s="266"/>
      <c r="C905" s="266"/>
      <c r="D905" s="266"/>
      <c r="E905" s="255"/>
    </row>
    <row r="906">
      <c r="A906" s="266"/>
      <c r="B906" s="266"/>
      <c r="C906" s="266"/>
      <c r="D906" s="266"/>
      <c r="E906" s="255"/>
    </row>
    <row r="907">
      <c r="A907" s="266"/>
      <c r="B907" s="266"/>
      <c r="C907" s="266"/>
      <c r="D907" s="266"/>
      <c r="E907" s="255"/>
    </row>
    <row r="908">
      <c r="A908" s="266"/>
      <c r="B908" s="266"/>
      <c r="C908" s="266"/>
      <c r="D908" s="266"/>
      <c r="E908" s="255"/>
    </row>
    <row r="909">
      <c r="A909" s="266"/>
      <c r="B909" s="266"/>
      <c r="C909" s="266"/>
      <c r="D909" s="266"/>
      <c r="E909" s="255"/>
    </row>
    <row r="910">
      <c r="A910" s="266"/>
      <c r="B910" s="266"/>
      <c r="C910" s="266"/>
      <c r="D910" s="266"/>
      <c r="E910" s="255"/>
    </row>
    <row r="911">
      <c r="A911" s="266"/>
      <c r="B911" s="266"/>
      <c r="C911" s="266"/>
      <c r="D911" s="266"/>
      <c r="E911" s="255"/>
    </row>
    <row r="912">
      <c r="A912" s="266"/>
      <c r="B912" s="266"/>
      <c r="C912" s="266"/>
      <c r="D912" s="266"/>
      <c r="E912" s="255"/>
    </row>
    <row r="913">
      <c r="A913" s="266"/>
      <c r="B913" s="266"/>
      <c r="C913" s="266"/>
      <c r="D913" s="266"/>
      <c r="E913" s="255"/>
    </row>
    <row r="914">
      <c r="A914" s="266"/>
      <c r="B914" s="266"/>
      <c r="C914" s="266"/>
      <c r="D914" s="266"/>
      <c r="E914" s="255"/>
    </row>
    <row r="915">
      <c r="A915" s="266"/>
      <c r="B915" s="266"/>
      <c r="C915" s="266"/>
      <c r="D915" s="266"/>
      <c r="E915" s="255"/>
    </row>
    <row r="916">
      <c r="A916" s="266"/>
      <c r="B916" s="266"/>
      <c r="C916" s="266"/>
      <c r="D916" s="266"/>
      <c r="E916" s="255"/>
    </row>
    <row r="917">
      <c r="A917" s="266"/>
      <c r="B917" s="266"/>
      <c r="C917" s="266"/>
      <c r="D917" s="266"/>
      <c r="E917" s="255"/>
    </row>
    <row r="918">
      <c r="A918" s="266"/>
      <c r="B918" s="266"/>
      <c r="C918" s="266"/>
      <c r="D918" s="266"/>
      <c r="E918" s="255"/>
    </row>
    <row r="919">
      <c r="A919" s="266"/>
      <c r="B919" s="266"/>
      <c r="C919" s="266"/>
      <c r="D919" s="266"/>
      <c r="E919" s="255"/>
    </row>
    <row r="920">
      <c r="A920" s="266"/>
      <c r="B920" s="266"/>
      <c r="C920" s="266"/>
      <c r="D920" s="266"/>
      <c r="E920" s="255"/>
    </row>
    <row r="921">
      <c r="A921" s="266"/>
      <c r="B921" s="266"/>
      <c r="C921" s="266"/>
      <c r="D921" s="266"/>
      <c r="E921" s="255"/>
    </row>
    <row r="922">
      <c r="A922" s="266"/>
      <c r="B922" s="266"/>
      <c r="C922" s="266"/>
      <c r="D922" s="266"/>
      <c r="E922" s="255"/>
    </row>
    <row r="923">
      <c r="A923" s="266"/>
      <c r="B923" s="266"/>
      <c r="C923" s="266"/>
      <c r="D923" s="266"/>
      <c r="E923" s="255"/>
    </row>
    <row r="924">
      <c r="A924" s="266"/>
      <c r="B924" s="266"/>
      <c r="C924" s="266"/>
      <c r="D924" s="266"/>
      <c r="E924" s="255"/>
    </row>
    <row r="925">
      <c r="A925" s="266"/>
      <c r="B925" s="266"/>
      <c r="C925" s="266"/>
      <c r="D925" s="266"/>
      <c r="E925" s="255"/>
    </row>
    <row r="926">
      <c r="A926" s="266"/>
      <c r="B926" s="266"/>
      <c r="C926" s="266"/>
      <c r="D926" s="266"/>
      <c r="E926" s="255"/>
    </row>
    <row r="927">
      <c r="A927" s="266"/>
      <c r="B927" s="266"/>
      <c r="C927" s="266"/>
      <c r="D927" s="266"/>
      <c r="E927" s="255"/>
    </row>
    <row r="928">
      <c r="A928" s="266"/>
      <c r="B928" s="266"/>
      <c r="C928" s="266"/>
      <c r="D928" s="266"/>
      <c r="E928" s="255"/>
    </row>
    <row r="929">
      <c r="A929" s="266"/>
      <c r="B929" s="266"/>
      <c r="C929" s="266"/>
      <c r="D929" s="266"/>
      <c r="E929" s="255"/>
    </row>
    <row r="930">
      <c r="A930" s="266"/>
      <c r="B930" s="266"/>
      <c r="C930" s="266"/>
      <c r="D930" s="266"/>
      <c r="E930" s="255"/>
    </row>
    <row r="931">
      <c r="A931" s="266"/>
      <c r="B931" s="266"/>
      <c r="C931" s="266"/>
      <c r="D931" s="266"/>
      <c r="E931" s="255"/>
    </row>
    <row r="932">
      <c r="A932" s="266"/>
      <c r="B932" s="266"/>
      <c r="C932" s="266"/>
      <c r="D932" s="266"/>
      <c r="E932" s="255"/>
    </row>
    <row r="933">
      <c r="A933" s="266"/>
      <c r="B933" s="266"/>
      <c r="C933" s="266"/>
      <c r="D933" s="266"/>
      <c r="E933" s="255"/>
    </row>
    <row r="934">
      <c r="A934" s="266"/>
      <c r="B934" s="266"/>
      <c r="C934" s="266"/>
      <c r="D934" s="266"/>
      <c r="E934" s="255"/>
    </row>
    <row r="935">
      <c r="A935" s="266"/>
      <c r="B935" s="266"/>
      <c r="C935" s="266"/>
      <c r="D935" s="266"/>
      <c r="E935" s="255"/>
    </row>
    <row r="936">
      <c r="A936" s="266"/>
      <c r="B936" s="266"/>
      <c r="C936" s="266"/>
      <c r="D936" s="266"/>
      <c r="E936" s="255"/>
    </row>
    <row r="937">
      <c r="A937" s="266"/>
      <c r="B937" s="266"/>
      <c r="C937" s="266"/>
      <c r="D937" s="266"/>
      <c r="E937" s="255"/>
    </row>
    <row r="938">
      <c r="A938" s="266"/>
      <c r="B938" s="266"/>
      <c r="C938" s="266"/>
      <c r="D938" s="266"/>
      <c r="E938" s="255"/>
    </row>
    <row r="939">
      <c r="A939" s="266"/>
      <c r="B939" s="266"/>
      <c r="C939" s="266"/>
      <c r="D939" s="266"/>
      <c r="E939" s="255"/>
    </row>
    <row r="940">
      <c r="A940" s="266"/>
      <c r="B940" s="266"/>
      <c r="C940" s="266"/>
      <c r="D940" s="266"/>
      <c r="E940" s="255"/>
    </row>
    <row r="941">
      <c r="A941" s="266"/>
      <c r="B941" s="266"/>
      <c r="C941" s="266"/>
      <c r="D941" s="266"/>
      <c r="E941" s="255"/>
    </row>
    <row r="942">
      <c r="A942" s="266"/>
      <c r="B942" s="266"/>
      <c r="C942" s="266"/>
      <c r="D942" s="266"/>
      <c r="E942" s="255"/>
    </row>
    <row r="943">
      <c r="A943" s="266"/>
      <c r="B943" s="266"/>
      <c r="C943" s="266"/>
      <c r="D943" s="266"/>
      <c r="E943" s="255"/>
    </row>
    <row r="944">
      <c r="A944" s="266"/>
      <c r="B944" s="266"/>
      <c r="C944" s="266"/>
      <c r="D944" s="266"/>
      <c r="E944" s="255"/>
    </row>
    <row r="945">
      <c r="A945" s="266"/>
      <c r="B945" s="266"/>
      <c r="C945" s="266"/>
      <c r="D945" s="266"/>
      <c r="E945" s="255"/>
    </row>
    <row r="946">
      <c r="A946" s="266"/>
      <c r="B946" s="266"/>
      <c r="C946" s="266"/>
      <c r="D946" s="266"/>
      <c r="E946" s="255"/>
    </row>
    <row r="947">
      <c r="A947" s="266"/>
      <c r="B947" s="266"/>
      <c r="C947" s="266"/>
      <c r="D947" s="266"/>
      <c r="E947" s="255"/>
    </row>
    <row r="948">
      <c r="A948" s="266"/>
      <c r="B948" s="266"/>
      <c r="C948" s="266"/>
      <c r="D948" s="266"/>
      <c r="E948" s="255"/>
    </row>
    <row r="949">
      <c r="A949" s="266"/>
      <c r="B949" s="266"/>
      <c r="C949" s="266"/>
      <c r="D949" s="266"/>
      <c r="E949" s="255"/>
    </row>
    <row r="950">
      <c r="A950" s="266"/>
      <c r="B950" s="266"/>
      <c r="C950" s="266"/>
      <c r="D950" s="266"/>
      <c r="E950" s="255"/>
    </row>
    <row r="951">
      <c r="A951" s="266"/>
      <c r="B951" s="266"/>
      <c r="C951" s="266"/>
      <c r="D951" s="266"/>
      <c r="E951" s="255"/>
    </row>
    <row r="952">
      <c r="A952" s="266"/>
      <c r="B952" s="266"/>
      <c r="C952" s="266"/>
      <c r="D952" s="266"/>
      <c r="E952" s="255"/>
    </row>
    <row r="953">
      <c r="A953" s="266"/>
      <c r="B953" s="266"/>
      <c r="C953" s="266"/>
      <c r="D953" s="266"/>
      <c r="E953" s="255"/>
    </row>
    <row r="954">
      <c r="A954" s="266"/>
      <c r="B954" s="266"/>
      <c r="C954" s="266"/>
      <c r="D954" s="266"/>
      <c r="E954" s="255"/>
    </row>
    <row r="955">
      <c r="A955" s="266"/>
      <c r="B955" s="266"/>
      <c r="C955" s="266"/>
      <c r="D955" s="266"/>
      <c r="E955" s="255"/>
    </row>
    <row r="956">
      <c r="A956" s="266"/>
      <c r="B956" s="266"/>
      <c r="C956" s="266"/>
      <c r="D956" s="266"/>
      <c r="E956" s="255"/>
    </row>
    <row r="957">
      <c r="A957" s="266"/>
      <c r="B957" s="266"/>
      <c r="C957" s="266"/>
      <c r="D957" s="266"/>
      <c r="E957" s="255"/>
    </row>
    <row r="958">
      <c r="A958" s="266"/>
      <c r="B958" s="266"/>
      <c r="C958" s="266"/>
      <c r="D958" s="266"/>
      <c r="E958" s="255"/>
    </row>
    <row r="959">
      <c r="A959" s="266"/>
      <c r="B959" s="266"/>
      <c r="C959" s="266"/>
      <c r="D959" s="266"/>
      <c r="E959" s="255"/>
    </row>
    <row r="960">
      <c r="A960" s="266"/>
      <c r="B960" s="266"/>
      <c r="C960" s="266"/>
      <c r="D960" s="266"/>
      <c r="E960" s="255"/>
    </row>
    <row r="961">
      <c r="A961" s="266"/>
      <c r="B961" s="266"/>
      <c r="C961" s="266"/>
      <c r="D961" s="266"/>
      <c r="E961" s="255"/>
    </row>
    <row r="962">
      <c r="A962" s="266"/>
      <c r="B962" s="266"/>
      <c r="C962" s="266"/>
      <c r="D962" s="266"/>
      <c r="E962" s="255"/>
    </row>
    <row r="963">
      <c r="A963" s="266"/>
      <c r="B963" s="266"/>
      <c r="C963" s="266"/>
      <c r="D963" s="266"/>
      <c r="E963" s="255"/>
    </row>
    <row r="964">
      <c r="A964" s="266"/>
      <c r="B964" s="266"/>
      <c r="C964" s="266"/>
      <c r="D964" s="266"/>
      <c r="E964" s="255"/>
    </row>
    <row r="965">
      <c r="A965" s="266"/>
      <c r="B965" s="266"/>
      <c r="C965" s="266"/>
      <c r="D965" s="266"/>
      <c r="E965" s="255"/>
    </row>
    <row r="966">
      <c r="A966" s="266"/>
      <c r="B966" s="266"/>
      <c r="C966" s="266"/>
      <c r="D966" s="266"/>
      <c r="E966" s="255"/>
    </row>
    <row r="967">
      <c r="A967" s="266"/>
      <c r="B967" s="266"/>
      <c r="C967" s="266"/>
      <c r="D967" s="266"/>
      <c r="E967" s="255"/>
    </row>
    <row r="968">
      <c r="A968" s="266"/>
      <c r="B968" s="266"/>
      <c r="C968" s="266"/>
      <c r="D968" s="266"/>
      <c r="E968" s="255"/>
    </row>
    <row r="969">
      <c r="A969" s="266"/>
      <c r="B969" s="266"/>
      <c r="C969" s="266"/>
      <c r="D969" s="266"/>
      <c r="E969" s="255"/>
    </row>
    <row r="970">
      <c r="A970" s="266"/>
      <c r="B970" s="266"/>
      <c r="C970" s="266"/>
      <c r="D970" s="266"/>
      <c r="E970" s="255"/>
    </row>
    <row r="971">
      <c r="A971" s="266"/>
      <c r="B971" s="266"/>
      <c r="C971" s="266"/>
      <c r="D971" s="266"/>
      <c r="E971" s="255"/>
    </row>
    <row r="972">
      <c r="A972" s="266"/>
      <c r="B972" s="266"/>
      <c r="C972" s="266"/>
      <c r="D972" s="266"/>
      <c r="E972" s="255"/>
    </row>
    <row r="973">
      <c r="A973" s="266"/>
      <c r="B973" s="266"/>
      <c r="C973" s="266"/>
      <c r="D973" s="266"/>
      <c r="E973" s="255"/>
    </row>
    <row r="974">
      <c r="A974" s="266"/>
      <c r="B974" s="266"/>
      <c r="C974" s="266"/>
      <c r="D974" s="266"/>
      <c r="E974" s="255"/>
    </row>
    <row r="975">
      <c r="A975" s="266"/>
      <c r="B975" s="266"/>
      <c r="C975" s="266"/>
      <c r="D975" s="266"/>
      <c r="E975" s="255"/>
    </row>
    <row r="976">
      <c r="A976" s="266"/>
      <c r="B976" s="266"/>
      <c r="C976" s="266"/>
      <c r="D976" s="266"/>
      <c r="E976" s="255"/>
    </row>
    <row r="977">
      <c r="A977" s="266"/>
      <c r="B977" s="266"/>
      <c r="C977" s="266"/>
      <c r="D977" s="266"/>
      <c r="E977" s="255"/>
    </row>
    <row r="978">
      <c r="A978" s="266"/>
      <c r="B978" s="266"/>
      <c r="C978" s="266"/>
      <c r="D978" s="266"/>
      <c r="E978" s="255"/>
    </row>
    <row r="979">
      <c r="A979" s="266"/>
      <c r="B979" s="266"/>
      <c r="C979" s="266"/>
      <c r="D979" s="266"/>
      <c r="E979" s="255"/>
    </row>
    <row r="980">
      <c r="A980" s="266"/>
      <c r="B980" s="266"/>
      <c r="C980" s="266"/>
      <c r="D980" s="266"/>
      <c r="E980" s="255"/>
    </row>
    <row r="981">
      <c r="A981" s="266"/>
      <c r="B981" s="266"/>
      <c r="C981" s="266"/>
      <c r="D981" s="266"/>
      <c r="E981" s="255"/>
    </row>
    <row r="982">
      <c r="A982" s="266"/>
      <c r="B982" s="266"/>
      <c r="C982" s="266"/>
      <c r="D982" s="266"/>
      <c r="E982" s="255"/>
    </row>
    <row r="983">
      <c r="A983" s="266"/>
      <c r="B983" s="266"/>
      <c r="C983" s="266"/>
      <c r="D983" s="266"/>
      <c r="E983" s="255"/>
    </row>
    <row r="984">
      <c r="A984" s="266"/>
      <c r="B984" s="266"/>
      <c r="C984" s="266"/>
      <c r="D984" s="266"/>
      <c r="E984" s="255"/>
    </row>
    <row r="985">
      <c r="A985" s="266"/>
      <c r="B985" s="266"/>
      <c r="C985" s="266"/>
      <c r="D985" s="266"/>
      <c r="E985" s="255"/>
    </row>
    <row r="986">
      <c r="A986" s="266"/>
      <c r="B986" s="266"/>
      <c r="C986" s="266"/>
      <c r="D986" s="266"/>
      <c r="E986" s="255"/>
    </row>
    <row r="987">
      <c r="A987" s="266"/>
      <c r="B987" s="266"/>
      <c r="C987" s="266"/>
      <c r="D987" s="266"/>
      <c r="E987" s="255"/>
    </row>
    <row r="988">
      <c r="A988" s="266"/>
      <c r="B988" s="266"/>
      <c r="C988" s="266"/>
      <c r="D988" s="266"/>
      <c r="E988" s="255"/>
    </row>
    <row r="989">
      <c r="A989" s="266"/>
      <c r="B989" s="266"/>
      <c r="C989" s="266"/>
      <c r="D989" s="266"/>
      <c r="E989" s="255"/>
    </row>
    <row r="990">
      <c r="A990" s="266"/>
      <c r="B990" s="266"/>
      <c r="C990" s="266"/>
      <c r="D990" s="266"/>
      <c r="E990" s="255"/>
    </row>
    <row r="991">
      <c r="A991" s="266"/>
      <c r="B991" s="266"/>
      <c r="C991" s="266"/>
      <c r="D991" s="266"/>
      <c r="E991" s="255"/>
    </row>
    <row r="992">
      <c r="A992" s="266"/>
      <c r="B992" s="266"/>
      <c r="C992" s="266"/>
      <c r="D992" s="266"/>
      <c r="E992" s="255"/>
    </row>
    <row r="993">
      <c r="A993" s="266"/>
      <c r="B993" s="266"/>
      <c r="C993" s="266"/>
      <c r="D993" s="266"/>
      <c r="E993" s="255"/>
    </row>
    <row r="994">
      <c r="A994" s="266"/>
      <c r="B994" s="266"/>
      <c r="C994" s="266"/>
      <c r="D994" s="266"/>
      <c r="E994" s="255"/>
    </row>
    <row r="995">
      <c r="A995" s="266"/>
      <c r="B995" s="266"/>
      <c r="C995" s="266"/>
      <c r="D995" s="266"/>
      <c r="E995" s="255"/>
    </row>
    <row r="996">
      <c r="A996" s="266"/>
      <c r="B996" s="266"/>
      <c r="C996" s="266"/>
      <c r="D996" s="266"/>
      <c r="E996" s="255"/>
    </row>
    <row r="997">
      <c r="A997" s="266"/>
      <c r="B997" s="266"/>
      <c r="C997" s="266"/>
      <c r="D997" s="266"/>
      <c r="E997" s="2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2.5"/>
    <col customWidth="1" min="3" max="3" width="11.5"/>
  </cols>
  <sheetData>
    <row r="1">
      <c r="A1" s="2" t="s">
        <v>3118</v>
      </c>
      <c r="B1" s="3"/>
      <c r="C1" s="4"/>
    </row>
    <row r="2">
      <c r="A2" s="18" t="s">
        <v>12</v>
      </c>
      <c r="B2" s="18" t="s">
        <v>13</v>
      </c>
      <c r="C2" s="19" t="s">
        <v>14</v>
      </c>
    </row>
    <row r="3">
      <c r="A3" s="36" t="s">
        <v>58</v>
      </c>
      <c r="B3" s="36" t="s">
        <v>59</v>
      </c>
      <c r="C3" s="36" t="s">
        <v>60</v>
      </c>
      <c r="D3" s="251" t="str">
        <f t="shared" ref="D3:D498" si="1">CONCATENATE(B3,",",C3)</f>
        <v>CHACHAPOYAS,ASUNCION</v>
      </c>
    </row>
    <row r="4">
      <c r="A4" s="36" t="s">
        <v>58</v>
      </c>
      <c r="B4" s="36" t="s">
        <v>59</v>
      </c>
      <c r="C4" s="36" t="s">
        <v>78</v>
      </c>
      <c r="D4" s="251" t="str">
        <f t="shared" si="1"/>
        <v>CHACHAPOYAS,BALSAS</v>
      </c>
    </row>
    <row r="5">
      <c r="A5" s="36" t="s">
        <v>58</v>
      </c>
      <c r="B5" s="36" t="s">
        <v>59</v>
      </c>
      <c r="C5" s="36" t="s">
        <v>88</v>
      </c>
      <c r="D5" s="251" t="str">
        <f t="shared" si="1"/>
        <v>CHACHAPOYAS,CHILIQUIN</v>
      </c>
    </row>
    <row r="6">
      <c r="A6" s="36" t="s">
        <v>58</v>
      </c>
      <c r="B6" s="36" t="s">
        <v>59</v>
      </c>
      <c r="C6" s="36" t="s">
        <v>98</v>
      </c>
      <c r="D6" s="251" t="str">
        <f t="shared" si="1"/>
        <v>CHACHAPOYAS,CHUQUIBAMBA</v>
      </c>
    </row>
    <row r="7">
      <c r="A7" s="36" t="s">
        <v>58</v>
      </c>
      <c r="B7" s="36" t="s">
        <v>107</v>
      </c>
      <c r="C7" s="36" t="s">
        <v>108</v>
      </c>
      <c r="D7" s="251" t="str">
        <f t="shared" si="1"/>
        <v>LUYA,COCABAMBA</v>
      </c>
    </row>
    <row r="8">
      <c r="A8" s="36" t="s">
        <v>58</v>
      </c>
      <c r="B8" s="36" t="s">
        <v>107</v>
      </c>
      <c r="C8" s="36" t="s">
        <v>117</v>
      </c>
      <c r="D8" s="251" t="str">
        <f t="shared" si="1"/>
        <v>LUYA,COLCAMAR</v>
      </c>
    </row>
    <row r="9">
      <c r="A9" s="36" t="s">
        <v>58</v>
      </c>
      <c r="B9" s="36" t="s">
        <v>107</v>
      </c>
      <c r="C9" s="36" t="s">
        <v>127</v>
      </c>
      <c r="D9" s="251" t="str">
        <f t="shared" si="1"/>
        <v>LUYA,CONILA</v>
      </c>
      <c r="E9" s="267"/>
    </row>
    <row r="10">
      <c r="A10" s="36" t="s">
        <v>58</v>
      </c>
      <c r="B10" s="36" t="s">
        <v>137</v>
      </c>
      <c r="C10" s="56" t="s">
        <v>138</v>
      </c>
      <c r="D10" s="251" t="str">
        <f t="shared" si="1"/>
        <v>CONDORCANQUI,EL CENEPA</v>
      </c>
    </row>
    <row r="11">
      <c r="A11" s="36" t="s">
        <v>58</v>
      </c>
      <c r="B11" s="36" t="s">
        <v>137</v>
      </c>
      <c r="C11" s="56" t="s">
        <v>138</v>
      </c>
      <c r="D11" s="251" t="str">
        <f t="shared" si="1"/>
        <v>CONDORCANQUI,EL CENEPA</v>
      </c>
    </row>
    <row r="12">
      <c r="A12" s="36" t="s">
        <v>58</v>
      </c>
      <c r="B12" s="36" t="s">
        <v>156</v>
      </c>
      <c r="C12" s="56" t="s">
        <v>157</v>
      </c>
      <c r="D12" s="251" t="str">
        <f t="shared" si="1"/>
        <v>BAGUA,IMAZA</v>
      </c>
    </row>
    <row r="13">
      <c r="A13" s="36" t="s">
        <v>58</v>
      </c>
      <c r="B13" s="36" t="s">
        <v>59</v>
      </c>
      <c r="C13" s="36" t="s">
        <v>168</v>
      </c>
      <c r="D13" s="251" t="str">
        <f t="shared" si="1"/>
        <v>CHACHAPOYAS,LEIMEBAMBA</v>
      </c>
    </row>
    <row r="14">
      <c r="A14" s="36" t="s">
        <v>58</v>
      </c>
      <c r="B14" s="36" t="s">
        <v>59</v>
      </c>
      <c r="C14" s="36" t="s">
        <v>177</v>
      </c>
      <c r="D14" s="251" t="str">
        <f t="shared" si="1"/>
        <v>CHACHAPOYAS,LEVANTO</v>
      </c>
    </row>
    <row r="15">
      <c r="A15" s="36" t="s">
        <v>58</v>
      </c>
      <c r="B15" s="36" t="s">
        <v>186</v>
      </c>
      <c r="C15" s="36" t="s">
        <v>187</v>
      </c>
      <c r="D15" s="251" t="str">
        <f t="shared" si="1"/>
        <v>RODRIGUEZ DE MENDOZA,LIMABAMBA</v>
      </c>
    </row>
    <row r="16">
      <c r="A16" s="36" t="s">
        <v>58</v>
      </c>
      <c r="B16" s="36" t="s">
        <v>137</v>
      </c>
      <c r="C16" s="61" t="s">
        <v>197</v>
      </c>
      <c r="D16" s="251" t="str">
        <f t="shared" si="1"/>
        <v>CONDORCANQUI,NIEVA</v>
      </c>
    </row>
    <row r="17">
      <c r="A17" s="36" t="s">
        <v>58</v>
      </c>
      <c r="B17" s="36" t="s">
        <v>107</v>
      </c>
      <c r="C17" s="36" t="s">
        <v>207</v>
      </c>
      <c r="D17" s="251" t="str">
        <f t="shared" si="1"/>
        <v>LUYA,OCALLI</v>
      </c>
    </row>
    <row r="18">
      <c r="A18" s="36" t="s">
        <v>58</v>
      </c>
      <c r="B18" s="36" t="s">
        <v>107</v>
      </c>
      <c r="C18" s="36" t="s">
        <v>212</v>
      </c>
      <c r="D18" s="251" t="str">
        <f t="shared" si="1"/>
        <v>LUYA,OCUMAL</v>
      </c>
    </row>
    <row r="19">
      <c r="A19" s="36" t="s">
        <v>58</v>
      </c>
      <c r="B19" s="36" t="s">
        <v>59</v>
      </c>
      <c r="C19" s="36" t="s">
        <v>221</v>
      </c>
      <c r="D19" s="251" t="str">
        <f t="shared" si="1"/>
        <v>CHACHAPOYAS,OLLEROS</v>
      </c>
    </row>
    <row r="20">
      <c r="A20" s="36" t="s">
        <v>58</v>
      </c>
      <c r="B20" s="36" t="s">
        <v>186</v>
      </c>
      <c r="C20" s="36" t="s">
        <v>229</v>
      </c>
      <c r="D20" s="251" t="str">
        <f t="shared" si="1"/>
        <v>RODRIGUEZ DE MENDOZA,OMIA</v>
      </c>
    </row>
    <row r="21">
      <c r="A21" s="36" t="s">
        <v>58</v>
      </c>
      <c r="B21" s="36" t="s">
        <v>107</v>
      </c>
      <c r="C21" s="36" t="s">
        <v>239</v>
      </c>
      <c r="D21" s="251" t="str">
        <f t="shared" si="1"/>
        <v>LUYA,PROVIDENCIA</v>
      </c>
    </row>
    <row r="22">
      <c r="A22" s="36" t="s">
        <v>58</v>
      </c>
      <c r="B22" s="36" t="s">
        <v>137</v>
      </c>
      <c r="C22" s="56" t="s">
        <v>248</v>
      </c>
      <c r="D22" s="251" t="str">
        <f t="shared" si="1"/>
        <v>CONDORCANQUI,RIO SANTIAGO</v>
      </c>
    </row>
    <row r="23">
      <c r="A23" s="36" t="s">
        <v>58</v>
      </c>
      <c r="B23" s="36" t="s">
        <v>59</v>
      </c>
      <c r="C23" s="36" t="s">
        <v>259</v>
      </c>
      <c r="D23" s="251" t="str">
        <f t="shared" si="1"/>
        <v>CHACHAPOYAS,SAN ISIDRO DE MAINO</v>
      </c>
    </row>
    <row r="24">
      <c r="A24" s="36" t="s">
        <v>58</v>
      </c>
      <c r="B24" s="36" t="s">
        <v>269</v>
      </c>
      <c r="C24" s="36" t="s">
        <v>270</v>
      </c>
      <c r="D24" s="251" t="str">
        <f t="shared" si="1"/>
        <v>BONGARA,SHIPASBAMBA</v>
      </c>
    </row>
    <row r="25">
      <c r="A25" s="36" t="s">
        <v>58</v>
      </c>
      <c r="B25" s="36" t="s">
        <v>186</v>
      </c>
      <c r="C25" s="36" t="s">
        <v>279</v>
      </c>
      <c r="D25" s="251" t="str">
        <f t="shared" si="1"/>
        <v>RODRIGUEZ DE MENDOZA,TOTORA</v>
      </c>
    </row>
    <row r="26">
      <c r="A26" s="36" t="s">
        <v>58</v>
      </c>
      <c r="B26" s="36" t="s">
        <v>269</v>
      </c>
      <c r="C26" s="36" t="s">
        <v>289</v>
      </c>
      <c r="D26" s="251" t="str">
        <f t="shared" si="1"/>
        <v>BONGARA,VALERA</v>
      </c>
    </row>
    <row r="27">
      <c r="A27" s="36" t="s">
        <v>58</v>
      </c>
      <c r="B27" s="36" t="s">
        <v>186</v>
      </c>
      <c r="C27" s="36" t="s">
        <v>298</v>
      </c>
      <c r="D27" s="251" t="str">
        <f t="shared" si="1"/>
        <v>RODRIGUEZ DE MENDOZA,VISTA ALEGRE</v>
      </c>
    </row>
    <row r="28">
      <c r="A28" s="36" t="s">
        <v>58</v>
      </c>
      <c r="B28" s="36" t="s">
        <v>308</v>
      </c>
      <c r="C28" s="36" t="s">
        <v>309</v>
      </c>
      <c r="D28" s="251" t="str">
        <f t="shared" si="1"/>
        <v>UTCUBAMBA,YAMON</v>
      </c>
    </row>
    <row r="29">
      <c r="A29" s="36" t="s">
        <v>319</v>
      </c>
      <c r="B29" s="36" t="s">
        <v>320</v>
      </c>
      <c r="C29" s="36" t="s">
        <v>321</v>
      </c>
      <c r="D29" s="251" t="str">
        <f t="shared" si="1"/>
        <v>OCROS,ACAS</v>
      </c>
    </row>
    <row r="30">
      <c r="A30" s="36" t="s">
        <v>319</v>
      </c>
      <c r="B30" s="36" t="s">
        <v>332</v>
      </c>
      <c r="C30" s="36" t="s">
        <v>333</v>
      </c>
      <c r="D30" s="251" t="str">
        <f t="shared" si="1"/>
        <v>CORONGO,BAMBAS</v>
      </c>
    </row>
    <row r="31">
      <c r="A31" s="36" t="s">
        <v>319</v>
      </c>
      <c r="B31" s="36" t="s">
        <v>345</v>
      </c>
      <c r="C31" s="56" t="s">
        <v>346</v>
      </c>
      <c r="D31" s="251" t="str">
        <f t="shared" si="1"/>
        <v>SANTA,CACERES DEL PERU</v>
      </c>
    </row>
    <row r="32">
      <c r="A32" s="36" t="s">
        <v>319</v>
      </c>
      <c r="B32" s="36" t="s">
        <v>345</v>
      </c>
      <c r="C32" s="56" t="s">
        <v>346</v>
      </c>
      <c r="D32" s="251" t="str">
        <f t="shared" si="1"/>
        <v>SANTA,CACERES DEL PERU</v>
      </c>
    </row>
    <row r="33">
      <c r="A33" s="36" t="s">
        <v>319</v>
      </c>
      <c r="B33" s="36" t="s">
        <v>320</v>
      </c>
      <c r="C33" s="61" t="s">
        <v>355</v>
      </c>
      <c r="D33" s="251" t="str">
        <f t="shared" si="1"/>
        <v>OCROS,CAJAMARQUILLA</v>
      </c>
    </row>
    <row r="34">
      <c r="A34" s="36" t="s">
        <v>319</v>
      </c>
      <c r="B34" s="36" t="s">
        <v>320</v>
      </c>
      <c r="C34" s="36" t="s">
        <v>362</v>
      </c>
      <c r="D34" s="251" t="str">
        <f t="shared" si="1"/>
        <v>OCROS,CARHUAPAMPA</v>
      </c>
    </row>
    <row r="35">
      <c r="A35" s="36" t="s">
        <v>319</v>
      </c>
      <c r="B35" s="36" t="s">
        <v>369</v>
      </c>
      <c r="C35" s="36" t="s">
        <v>370</v>
      </c>
      <c r="D35" s="251" t="str">
        <f t="shared" si="1"/>
        <v>RECUAY,CATAC</v>
      </c>
    </row>
    <row r="36">
      <c r="A36" s="36" t="s">
        <v>319</v>
      </c>
      <c r="B36" s="36" t="s">
        <v>369</v>
      </c>
      <c r="C36" s="36" t="s">
        <v>370</v>
      </c>
      <c r="D36" s="251" t="str">
        <f t="shared" si="1"/>
        <v>RECUAY,CATAC</v>
      </c>
    </row>
    <row r="37">
      <c r="A37" s="36" t="s">
        <v>319</v>
      </c>
      <c r="B37" s="36" t="s">
        <v>386</v>
      </c>
      <c r="C37" s="36" t="s">
        <v>387</v>
      </c>
      <c r="D37" s="251" t="str">
        <f t="shared" si="1"/>
        <v>HUARMEY,COCHAPETI</v>
      </c>
    </row>
    <row r="38">
      <c r="A38" s="36" t="s">
        <v>319</v>
      </c>
      <c r="B38" s="36" t="s">
        <v>320</v>
      </c>
      <c r="C38" s="36" t="s">
        <v>396</v>
      </c>
      <c r="D38" s="251" t="str">
        <f t="shared" si="1"/>
        <v>OCROS,COCHAS</v>
      </c>
    </row>
    <row r="39">
      <c r="A39" s="36" t="s">
        <v>319</v>
      </c>
      <c r="B39" s="36" t="s">
        <v>402</v>
      </c>
      <c r="C39" s="36" t="s">
        <v>403</v>
      </c>
      <c r="D39" s="251" t="str">
        <f t="shared" si="1"/>
        <v>BOLOGNESI,COLQUIOC</v>
      </c>
    </row>
    <row r="40">
      <c r="A40" s="36" t="s">
        <v>319</v>
      </c>
      <c r="B40" s="36" t="s">
        <v>320</v>
      </c>
      <c r="C40" s="70" t="s">
        <v>409</v>
      </c>
      <c r="D40" s="251" t="str">
        <f t="shared" si="1"/>
        <v>OCROS,CONGAS</v>
      </c>
    </row>
    <row r="41">
      <c r="A41" s="36" t="s">
        <v>319</v>
      </c>
      <c r="B41" s="36" t="s">
        <v>415</v>
      </c>
      <c r="C41" s="36" t="s">
        <v>416</v>
      </c>
      <c r="D41" s="251" t="str">
        <f t="shared" si="1"/>
        <v>AIJA,CORIS</v>
      </c>
    </row>
    <row r="42">
      <c r="A42" s="36" t="s">
        <v>319</v>
      </c>
      <c r="B42" s="36" t="s">
        <v>369</v>
      </c>
      <c r="C42" s="36" t="s">
        <v>423</v>
      </c>
      <c r="D42" s="251" t="str">
        <f t="shared" si="1"/>
        <v>RECUAY,COTAPARACO</v>
      </c>
    </row>
    <row r="43">
      <c r="A43" s="36" t="s">
        <v>319</v>
      </c>
      <c r="B43" s="36" t="s">
        <v>369</v>
      </c>
      <c r="C43" s="36" t="s">
        <v>423</v>
      </c>
      <c r="D43" s="251" t="str">
        <f t="shared" si="1"/>
        <v>RECUAY,COTAPARACO</v>
      </c>
    </row>
    <row r="44">
      <c r="A44" s="36" t="s">
        <v>319</v>
      </c>
      <c r="B44" s="36" t="s">
        <v>332</v>
      </c>
      <c r="C44" s="36" t="s">
        <v>432</v>
      </c>
      <c r="D44" s="251" t="str">
        <f t="shared" si="1"/>
        <v>CORONGO,CUSCA</v>
      </c>
    </row>
    <row r="45">
      <c r="A45" s="36" t="s">
        <v>319</v>
      </c>
      <c r="B45" s="36" t="s">
        <v>438</v>
      </c>
      <c r="C45" s="61" t="s">
        <v>439</v>
      </c>
      <c r="D45" s="251" t="str">
        <f t="shared" si="1"/>
        <v>MARISCAL LUZURIAGA,FIDEL OLIVAS ESCUDERO</v>
      </c>
    </row>
    <row r="46">
      <c r="A46" s="36" t="s">
        <v>319</v>
      </c>
      <c r="B46" s="36" t="s">
        <v>438</v>
      </c>
      <c r="C46" s="61" t="s">
        <v>439</v>
      </c>
      <c r="D46" s="251" t="str">
        <f t="shared" si="1"/>
        <v>MARISCAL LUZURIAGA,FIDEL OLIVAS ESCUDERO</v>
      </c>
    </row>
    <row r="47">
      <c r="A47" s="36" t="s">
        <v>319</v>
      </c>
      <c r="B47" s="36" t="s">
        <v>438</v>
      </c>
      <c r="C47" s="61" t="s">
        <v>439</v>
      </c>
      <c r="D47" s="251" t="str">
        <f t="shared" si="1"/>
        <v>MARISCAL LUZURIAGA,FIDEL OLIVAS ESCUDERO</v>
      </c>
    </row>
    <row r="48">
      <c r="A48" s="36" t="s">
        <v>319</v>
      </c>
      <c r="B48" s="36" t="s">
        <v>402</v>
      </c>
      <c r="C48" s="36" t="s">
        <v>452</v>
      </c>
      <c r="D48" s="251" t="str">
        <f t="shared" si="1"/>
        <v>BOLOGNESI,HUALLANCA</v>
      </c>
    </row>
    <row r="49">
      <c r="A49" s="36" t="s">
        <v>319</v>
      </c>
      <c r="B49" s="36" t="s">
        <v>402</v>
      </c>
      <c r="C49" s="36" t="s">
        <v>452</v>
      </c>
      <c r="D49" s="251" t="str">
        <f t="shared" si="1"/>
        <v>BOLOGNESI,HUALLANCA</v>
      </c>
    </row>
    <row r="50">
      <c r="A50" s="36" t="s">
        <v>319</v>
      </c>
      <c r="B50" s="36" t="s">
        <v>463</v>
      </c>
      <c r="C50" s="36" t="s">
        <v>464</v>
      </c>
      <c r="D50" s="251" t="str">
        <f t="shared" si="1"/>
        <v>HUARAZ,HUANCHAY</v>
      </c>
    </row>
    <row r="51">
      <c r="A51" s="36" t="s">
        <v>319</v>
      </c>
      <c r="B51" s="36" t="s">
        <v>402</v>
      </c>
      <c r="C51" s="36" t="s">
        <v>470</v>
      </c>
      <c r="D51" s="251" t="str">
        <f t="shared" si="1"/>
        <v>BOLOGNESI,HUASTA</v>
      </c>
    </row>
    <row r="52">
      <c r="A52" s="36" t="s">
        <v>319</v>
      </c>
      <c r="B52" s="36" t="s">
        <v>402</v>
      </c>
      <c r="C52" s="36" t="s">
        <v>477</v>
      </c>
      <c r="D52" s="251" t="str">
        <f t="shared" si="1"/>
        <v>BOLOGNESI,HUAYLLACAYAN</v>
      </c>
    </row>
    <row r="53">
      <c r="A53" s="36" t="s">
        <v>319</v>
      </c>
      <c r="B53" s="36" t="s">
        <v>483</v>
      </c>
      <c r="C53" s="36" t="s">
        <v>484</v>
      </c>
      <c r="D53" s="251" t="str">
        <f t="shared" si="1"/>
        <v>PALLASCA,LACABAMBA</v>
      </c>
    </row>
    <row r="54">
      <c r="A54" s="36" t="s">
        <v>319</v>
      </c>
      <c r="B54" s="36" t="s">
        <v>386</v>
      </c>
      <c r="C54" s="36" t="s">
        <v>490</v>
      </c>
      <c r="D54" s="251" t="str">
        <f t="shared" si="1"/>
        <v>HUARMEY,MALVAS</v>
      </c>
    </row>
    <row r="55">
      <c r="A55" s="36" t="s">
        <v>319</v>
      </c>
      <c r="B55" s="36" t="s">
        <v>402</v>
      </c>
      <c r="C55" s="36" t="s">
        <v>497</v>
      </c>
      <c r="D55" s="251" t="str">
        <f t="shared" si="1"/>
        <v>BOLOGNESI,MANGAS</v>
      </c>
    </row>
    <row r="56">
      <c r="A56" s="36" t="s">
        <v>319</v>
      </c>
      <c r="B56" s="36" t="s">
        <v>402</v>
      </c>
      <c r="C56" s="36" t="s">
        <v>497</v>
      </c>
      <c r="D56" s="251" t="str">
        <f t="shared" si="1"/>
        <v>BOLOGNESI,MANGAS</v>
      </c>
    </row>
    <row r="57">
      <c r="A57" s="36" t="s">
        <v>319</v>
      </c>
      <c r="B57" s="36" t="s">
        <v>320</v>
      </c>
      <c r="C57" s="36" t="s">
        <v>320</v>
      </c>
      <c r="D57" s="251" t="str">
        <f t="shared" si="1"/>
        <v>OCROS,OCROS</v>
      </c>
    </row>
    <row r="58">
      <c r="A58" s="36" t="s">
        <v>319</v>
      </c>
      <c r="B58" s="36" t="s">
        <v>402</v>
      </c>
      <c r="C58" s="36" t="s">
        <v>513</v>
      </c>
      <c r="D58" s="251" t="str">
        <f t="shared" si="1"/>
        <v>BOLOGNESI,PACLLON</v>
      </c>
    </row>
    <row r="59">
      <c r="A59" s="36" t="s">
        <v>319</v>
      </c>
      <c r="B59" s="36" t="s">
        <v>483</v>
      </c>
      <c r="C59" s="36" t="s">
        <v>519</v>
      </c>
      <c r="D59" s="251" t="str">
        <f t="shared" si="1"/>
        <v>PALLASCA,PAMPAS</v>
      </c>
    </row>
    <row r="60">
      <c r="A60" s="36" t="s">
        <v>319</v>
      </c>
      <c r="B60" s="36" t="s">
        <v>369</v>
      </c>
      <c r="C60" s="36" t="s">
        <v>525</v>
      </c>
      <c r="D60" s="251" t="str">
        <f t="shared" si="1"/>
        <v>RECUAY,PARARIN</v>
      </c>
    </row>
    <row r="61">
      <c r="A61" s="36" t="s">
        <v>319</v>
      </c>
      <c r="B61" s="36" t="s">
        <v>531</v>
      </c>
      <c r="C61" s="36" t="s">
        <v>532</v>
      </c>
      <c r="D61" s="251" t="str">
        <f t="shared" si="1"/>
        <v>SIHUAS,RAGASH</v>
      </c>
    </row>
    <row r="62">
      <c r="A62" s="36" t="s">
        <v>319</v>
      </c>
      <c r="B62" s="36" t="s">
        <v>531</v>
      </c>
      <c r="C62" s="36" t="s">
        <v>532</v>
      </c>
      <c r="D62" s="251" t="str">
        <f t="shared" si="1"/>
        <v>SIHUAS,RAGASH</v>
      </c>
    </row>
    <row r="63">
      <c r="A63" s="36" t="s">
        <v>319</v>
      </c>
      <c r="B63" s="36" t="s">
        <v>542</v>
      </c>
      <c r="C63" s="36" t="s">
        <v>543</v>
      </c>
      <c r="D63" s="251" t="str">
        <f t="shared" si="1"/>
        <v>HUARI,RAHUAPAMPA</v>
      </c>
    </row>
    <row r="64">
      <c r="A64" s="36" t="s">
        <v>319</v>
      </c>
      <c r="B64" s="36" t="s">
        <v>542</v>
      </c>
      <c r="C64" s="36" t="s">
        <v>543</v>
      </c>
      <c r="D64" s="251" t="str">
        <f t="shared" si="1"/>
        <v>HUARI,RAHUAPAMPA</v>
      </c>
    </row>
    <row r="65">
      <c r="A65" s="36" t="s">
        <v>319</v>
      </c>
      <c r="B65" s="36" t="s">
        <v>560</v>
      </c>
      <c r="C65" s="36" t="s">
        <v>561</v>
      </c>
      <c r="D65" s="251" t="str">
        <f t="shared" si="1"/>
        <v>ANTONIO RAIMONDI,SAN JUAN DE RONTOY</v>
      </c>
    </row>
    <row r="66">
      <c r="A66" s="36" t="s">
        <v>319</v>
      </c>
      <c r="B66" s="36" t="s">
        <v>320</v>
      </c>
      <c r="C66" s="36" t="s">
        <v>567</v>
      </c>
      <c r="D66" s="251" t="str">
        <f t="shared" si="1"/>
        <v>OCROS,SAN PEDRO</v>
      </c>
    </row>
    <row r="67">
      <c r="A67" s="36" t="s">
        <v>573</v>
      </c>
      <c r="B67" s="36" t="s">
        <v>574</v>
      </c>
      <c r="C67" s="36" t="s">
        <v>575</v>
      </c>
      <c r="D67" s="251" t="str">
        <f t="shared" si="1"/>
        <v>CHINCHEROS,AHUAYRO</v>
      </c>
    </row>
    <row r="68">
      <c r="A68" s="36" t="s">
        <v>573</v>
      </c>
      <c r="B68" s="36" t="s">
        <v>584</v>
      </c>
      <c r="C68" s="36" t="s">
        <v>585</v>
      </c>
      <c r="D68" s="251" t="str">
        <f t="shared" si="1"/>
        <v>AYMARAES,CARAYBAMBA</v>
      </c>
    </row>
    <row r="69">
      <c r="A69" s="36" t="s">
        <v>573</v>
      </c>
      <c r="B69" s="36" t="s">
        <v>584</v>
      </c>
      <c r="C69" s="36" t="s">
        <v>585</v>
      </c>
      <c r="D69" s="251" t="str">
        <f t="shared" si="1"/>
        <v>AYMARAES,CARAYBAMBA</v>
      </c>
    </row>
    <row r="70">
      <c r="A70" s="78" t="s">
        <v>573</v>
      </c>
      <c r="B70" s="78" t="s">
        <v>596</v>
      </c>
      <c r="C70" s="61" t="s">
        <v>597</v>
      </c>
      <c r="D70" s="251" t="str">
        <f t="shared" si="1"/>
        <v>ABANCAY,CIRCA</v>
      </c>
    </row>
    <row r="71">
      <c r="A71" s="78" t="s">
        <v>573</v>
      </c>
      <c r="B71" s="78" t="s">
        <v>584</v>
      </c>
      <c r="C71" s="78" t="s">
        <v>604</v>
      </c>
      <c r="D71" s="251" t="str">
        <f t="shared" si="1"/>
        <v>AYMARAES,COTARUSE</v>
      </c>
    </row>
    <row r="72">
      <c r="A72" s="78" t="s">
        <v>573</v>
      </c>
      <c r="B72" s="78" t="s">
        <v>610</v>
      </c>
      <c r="C72" s="78" t="s">
        <v>611</v>
      </c>
      <c r="D72" s="251" t="str">
        <f t="shared" si="1"/>
        <v>GRAU,CURPAHUASI</v>
      </c>
    </row>
    <row r="73">
      <c r="A73" s="78" t="s">
        <v>573</v>
      </c>
      <c r="B73" s="78" t="s">
        <v>610</v>
      </c>
      <c r="C73" s="78" t="s">
        <v>616</v>
      </c>
      <c r="D73" s="251" t="str">
        <f t="shared" si="1"/>
        <v>GRAU,GAMARRA</v>
      </c>
    </row>
    <row r="74">
      <c r="A74" s="78" t="s">
        <v>573</v>
      </c>
      <c r="B74" s="78" t="s">
        <v>596</v>
      </c>
      <c r="C74" s="78" t="s">
        <v>622</v>
      </c>
      <c r="D74" s="251" t="str">
        <f t="shared" si="1"/>
        <v>ABANCAY,HUANIPACA</v>
      </c>
    </row>
    <row r="75">
      <c r="A75" s="78" t="s">
        <v>573</v>
      </c>
      <c r="B75" s="78" t="s">
        <v>627</v>
      </c>
      <c r="C75" s="78" t="s">
        <v>628</v>
      </c>
      <c r="D75" s="251" t="str">
        <f t="shared" si="1"/>
        <v>ANTABAMBA,HUAQUIRCA</v>
      </c>
    </row>
    <row r="76">
      <c r="A76" s="78" t="s">
        <v>573</v>
      </c>
      <c r="B76" s="78" t="s">
        <v>627</v>
      </c>
      <c r="C76" s="78" t="s">
        <v>633</v>
      </c>
      <c r="D76" s="251" t="str">
        <f t="shared" si="1"/>
        <v>ANTABAMBA,JUAN ESPINOZA MEDRANO</v>
      </c>
    </row>
    <row r="77">
      <c r="A77" s="78" t="s">
        <v>573</v>
      </c>
      <c r="B77" s="78" t="s">
        <v>610</v>
      </c>
      <c r="C77" s="78" t="s">
        <v>638</v>
      </c>
      <c r="D77" s="251" t="str">
        <f t="shared" si="1"/>
        <v>GRAU,MAMARA</v>
      </c>
    </row>
    <row r="78">
      <c r="A78" s="78" t="s">
        <v>573</v>
      </c>
      <c r="B78" s="78" t="s">
        <v>627</v>
      </c>
      <c r="C78" s="78" t="s">
        <v>643</v>
      </c>
      <c r="D78" s="251" t="str">
        <f t="shared" si="1"/>
        <v>ANTABAMBA,OROPESA</v>
      </c>
    </row>
    <row r="79">
      <c r="A79" s="78" t="s">
        <v>573</v>
      </c>
      <c r="B79" s="78" t="s">
        <v>627</v>
      </c>
      <c r="C79" s="78" t="s">
        <v>648</v>
      </c>
      <c r="D79" s="251" t="str">
        <f t="shared" si="1"/>
        <v>ANTABAMBA,PACHACONAS</v>
      </c>
    </row>
    <row r="80">
      <c r="A80" s="78" t="s">
        <v>573</v>
      </c>
      <c r="B80" s="78" t="s">
        <v>653</v>
      </c>
      <c r="C80" s="78" t="s">
        <v>654</v>
      </c>
      <c r="D80" s="251" t="str">
        <f t="shared" si="1"/>
        <v>ANDAHUAYLAS,PAMPACHIRI</v>
      </c>
    </row>
    <row r="81">
      <c r="A81" s="78" t="s">
        <v>573</v>
      </c>
      <c r="B81" s="78" t="s">
        <v>627</v>
      </c>
      <c r="C81" s="78" t="s">
        <v>662</v>
      </c>
      <c r="D81" s="251" t="str">
        <f t="shared" si="1"/>
        <v>ANTABAMBA,SABAINO</v>
      </c>
    </row>
    <row r="82">
      <c r="A82" s="78" t="s">
        <v>573</v>
      </c>
      <c r="B82" s="78" t="s">
        <v>584</v>
      </c>
      <c r="C82" s="78" t="s">
        <v>668</v>
      </c>
      <c r="D82" s="251" t="str">
        <f t="shared" si="1"/>
        <v>AYMARAES,SAÑAYCA</v>
      </c>
    </row>
    <row r="83">
      <c r="A83" s="78" t="s">
        <v>573</v>
      </c>
      <c r="B83" s="78" t="s">
        <v>610</v>
      </c>
      <c r="C83" s="78" t="s">
        <v>673</v>
      </c>
      <c r="D83" s="251" t="str">
        <f t="shared" si="1"/>
        <v>GRAU,VIRUNDO</v>
      </c>
    </row>
    <row r="84">
      <c r="A84" s="78" t="s">
        <v>679</v>
      </c>
      <c r="B84" s="78" t="s">
        <v>680</v>
      </c>
      <c r="C84" s="78" t="s">
        <v>681</v>
      </c>
      <c r="D84" s="251" t="str">
        <f t="shared" si="1"/>
        <v>CAYLLOMA,ACHOMA</v>
      </c>
    </row>
    <row r="85">
      <c r="A85" s="78" t="s">
        <v>679</v>
      </c>
      <c r="B85" s="78" t="s">
        <v>690</v>
      </c>
      <c r="C85" s="78" t="s">
        <v>691</v>
      </c>
      <c r="D85" s="251" t="str">
        <f t="shared" si="1"/>
        <v>CASTILLA,ANDAGUA</v>
      </c>
    </row>
    <row r="86">
      <c r="A86" s="78" t="s">
        <v>679</v>
      </c>
      <c r="B86" s="78" t="s">
        <v>697</v>
      </c>
      <c r="C86" s="78" t="s">
        <v>698</v>
      </c>
      <c r="D86" s="251" t="str">
        <f t="shared" si="1"/>
        <v>CARAVELI,ATIQUIPA</v>
      </c>
    </row>
    <row r="87">
      <c r="A87" s="78" t="s">
        <v>679</v>
      </c>
      <c r="B87" s="78" t="s">
        <v>680</v>
      </c>
      <c r="C87" s="78" t="s">
        <v>703</v>
      </c>
      <c r="D87" s="251" t="str">
        <f t="shared" si="1"/>
        <v>CAYLLOMA,CABANACONDE</v>
      </c>
    </row>
    <row r="88">
      <c r="A88" s="78" t="s">
        <v>679</v>
      </c>
      <c r="B88" s="78" t="s">
        <v>680</v>
      </c>
      <c r="C88" s="78" t="s">
        <v>708</v>
      </c>
      <c r="D88" s="251" t="str">
        <f t="shared" si="1"/>
        <v>CAYLLOMA,CALLALLI</v>
      </c>
    </row>
    <row r="89">
      <c r="A89" s="78" t="s">
        <v>679</v>
      </c>
      <c r="B89" s="78" t="s">
        <v>680</v>
      </c>
      <c r="C89" s="78" t="s">
        <v>680</v>
      </c>
      <c r="D89" s="251" t="str">
        <f t="shared" si="1"/>
        <v>CAYLLOMA,CAYLLOMA</v>
      </c>
    </row>
    <row r="90">
      <c r="A90" s="78" t="s">
        <v>679</v>
      </c>
      <c r="B90" s="78" t="s">
        <v>690</v>
      </c>
      <c r="C90" s="78" t="s">
        <v>719</v>
      </c>
      <c r="D90" s="251" t="str">
        <f t="shared" si="1"/>
        <v>CASTILLA,CHACHAS</v>
      </c>
    </row>
    <row r="91">
      <c r="A91" s="78" t="s">
        <v>679</v>
      </c>
      <c r="B91" s="78" t="s">
        <v>725</v>
      </c>
      <c r="C91" s="78" t="s">
        <v>726</v>
      </c>
      <c r="D91" s="251" t="str">
        <f t="shared" si="1"/>
        <v>LA UNION,CHARCANA</v>
      </c>
    </row>
    <row r="92">
      <c r="A92" s="78" t="s">
        <v>679</v>
      </c>
      <c r="B92" s="78" t="s">
        <v>731</v>
      </c>
      <c r="C92" s="78" t="s">
        <v>732</v>
      </c>
      <c r="D92" s="251" t="str">
        <f t="shared" si="1"/>
        <v>CONDESUYOS,CHICHAS</v>
      </c>
    </row>
    <row r="93">
      <c r="A93" s="78" t="s">
        <v>679</v>
      </c>
      <c r="B93" s="78" t="s">
        <v>690</v>
      </c>
      <c r="C93" s="78" t="s">
        <v>737</v>
      </c>
      <c r="D93" s="251" t="str">
        <f t="shared" si="1"/>
        <v>CASTILLA,CHOCO</v>
      </c>
    </row>
    <row r="94">
      <c r="A94" s="78" t="s">
        <v>679</v>
      </c>
      <c r="B94" s="78" t="s">
        <v>680</v>
      </c>
      <c r="C94" s="78" t="s">
        <v>742</v>
      </c>
      <c r="D94" s="251" t="str">
        <f t="shared" si="1"/>
        <v>CAYLLOMA,HUANCA</v>
      </c>
    </row>
    <row r="95">
      <c r="A95" s="78" t="s">
        <v>679</v>
      </c>
      <c r="B95" s="78" t="s">
        <v>697</v>
      </c>
      <c r="C95" s="78" t="s">
        <v>747</v>
      </c>
      <c r="D95" s="251" t="str">
        <f t="shared" si="1"/>
        <v>CARAVELI,HUANUHUANU</v>
      </c>
    </row>
    <row r="96">
      <c r="A96" s="78" t="s">
        <v>679</v>
      </c>
      <c r="B96" s="78" t="s">
        <v>725</v>
      </c>
      <c r="C96" s="78" t="s">
        <v>752</v>
      </c>
      <c r="D96" s="251" t="str">
        <f t="shared" si="1"/>
        <v>LA UNION,HUAYNACOTAS</v>
      </c>
    </row>
    <row r="97">
      <c r="A97" s="78" t="s">
        <v>679</v>
      </c>
      <c r="B97" s="78" t="s">
        <v>680</v>
      </c>
      <c r="C97" s="78" t="s">
        <v>758</v>
      </c>
      <c r="D97" s="251" t="str">
        <f t="shared" si="1"/>
        <v>CAYLLOMA,ICHUPAMPA</v>
      </c>
    </row>
    <row r="98">
      <c r="A98" s="78" t="s">
        <v>679</v>
      </c>
      <c r="B98" s="78" t="s">
        <v>697</v>
      </c>
      <c r="C98" s="78" t="s">
        <v>763</v>
      </c>
      <c r="D98" s="251" t="str">
        <f t="shared" si="1"/>
        <v>CARAVELI,JAQUI</v>
      </c>
    </row>
    <row r="99">
      <c r="A99" s="78" t="s">
        <v>679</v>
      </c>
      <c r="B99" s="78" t="s">
        <v>680</v>
      </c>
      <c r="C99" s="78" t="s">
        <v>768</v>
      </c>
      <c r="D99" s="251" t="str">
        <f t="shared" si="1"/>
        <v>CAYLLOMA,LARI</v>
      </c>
    </row>
    <row r="100">
      <c r="A100" s="78" t="s">
        <v>679</v>
      </c>
      <c r="B100" s="78" t="s">
        <v>680</v>
      </c>
      <c r="C100" s="78" t="s">
        <v>773</v>
      </c>
      <c r="D100" s="251" t="str">
        <f t="shared" si="1"/>
        <v>CAYLLOMA,LLUTA</v>
      </c>
    </row>
    <row r="101">
      <c r="A101" s="78" t="s">
        <v>679</v>
      </c>
      <c r="B101" s="78" t="s">
        <v>680</v>
      </c>
      <c r="C101" s="78" t="s">
        <v>778</v>
      </c>
      <c r="D101" s="251" t="str">
        <f t="shared" si="1"/>
        <v>CAYLLOMA,MADRIGAL</v>
      </c>
    </row>
    <row r="102">
      <c r="A102" s="78" t="s">
        <v>679</v>
      </c>
      <c r="B102" s="78" t="s">
        <v>783</v>
      </c>
      <c r="C102" s="78" t="s">
        <v>784</v>
      </c>
      <c r="D102" s="251" t="str">
        <f t="shared" si="1"/>
        <v>CAMANA,NICOLAS DE PIEROLA</v>
      </c>
    </row>
    <row r="103">
      <c r="A103" s="36" t="s">
        <v>679</v>
      </c>
      <c r="B103" s="36" t="s">
        <v>679</v>
      </c>
      <c r="C103" s="36" t="s">
        <v>789</v>
      </c>
      <c r="D103" s="251" t="str">
        <f t="shared" si="1"/>
        <v>AREQUIPA,POCSI</v>
      </c>
    </row>
    <row r="104">
      <c r="A104" s="36" t="s">
        <v>679</v>
      </c>
      <c r="B104" s="36" t="s">
        <v>679</v>
      </c>
      <c r="C104" s="36" t="s">
        <v>789</v>
      </c>
      <c r="D104" s="251" t="str">
        <f t="shared" si="1"/>
        <v>AREQUIPA,POCSI</v>
      </c>
    </row>
    <row r="105">
      <c r="A105" s="36" t="s">
        <v>679</v>
      </c>
      <c r="B105" s="36" t="s">
        <v>725</v>
      </c>
      <c r="C105" s="36" t="s">
        <v>798</v>
      </c>
      <c r="D105" s="251" t="str">
        <f t="shared" si="1"/>
        <v>LA UNION,PUYCA</v>
      </c>
    </row>
    <row r="106">
      <c r="A106" s="36" t="s">
        <v>679</v>
      </c>
      <c r="B106" s="36" t="s">
        <v>725</v>
      </c>
      <c r="C106" s="36" t="s">
        <v>803</v>
      </c>
      <c r="D106" s="251" t="str">
        <f t="shared" si="1"/>
        <v>LA UNION,QUECHUALLA</v>
      </c>
    </row>
    <row r="107">
      <c r="A107" s="36" t="s">
        <v>679</v>
      </c>
      <c r="B107" s="36" t="s">
        <v>697</v>
      </c>
      <c r="C107" s="36" t="s">
        <v>808</v>
      </c>
      <c r="D107" s="251" t="str">
        <f t="shared" si="1"/>
        <v>CARAVELI,QUICACHA</v>
      </c>
    </row>
    <row r="108">
      <c r="A108" s="36" t="s">
        <v>679</v>
      </c>
      <c r="B108" s="36" t="s">
        <v>731</v>
      </c>
      <c r="C108" s="36" t="s">
        <v>813</v>
      </c>
      <c r="D108" s="251" t="str">
        <f t="shared" si="1"/>
        <v>CONDESUYOS,SALAMANCA</v>
      </c>
    </row>
    <row r="109">
      <c r="A109" s="36" t="s">
        <v>679</v>
      </c>
      <c r="B109" s="36" t="s">
        <v>679</v>
      </c>
      <c r="C109" s="36" t="s">
        <v>818</v>
      </c>
      <c r="D109" s="251" t="str">
        <f t="shared" si="1"/>
        <v>AREQUIPA,SAN JUAN DE TARUCANI</v>
      </c>
    </row>
    <row r="110">
      <c r="A110" s="36" t="s">
        <v>679</v>
      </c>
      <c r="B110" s="36" t="s">
        <v>679</v>
      </c>
      <c r="C110" s="36" t="s">
        <v>823</v>
      </c>
      <c r="D110" s="251" t="str">
        <f t="shared" si="1"/>
        <v>AREQUIPA,SANTA ISABEL DE SIGUAS</v>
      </c>
    </row>
    <row r="111">
      <c r="A111" s="36" t="s">
        <v>679</v>
      </c>
      <c r="B111" s="36" t="s">
        <v>725</v>
      </c>
      <c r="C111" s="36" t="s">
        <v>829</v>
      </c>
      <c r="D111" s="251" t="str">
        <f t="shared" si="1"/>
        <v>LA UNION,SAYLA</v>
      </c>
    </row>
    <row r="112">
      <c r="A112" s="36" t="s">
        <v>679</v>
      </c>
      <c r="B112" s="36" t="s">
        <v>680</v>
      </c>
      <c r="C112" s="36" t="s">
        <v>834</v>
      </c>
      <c r="D112" s="251" t="str">
        <f t="shared" si="1"/>
        <v>CAYLLOMA,SIBAYO</v>
      </c>
    </row>
    <row r="113">
      <c r="A113" s="36" t="s">
        <v>679</v>
      </c>
      <c r="B113" s="36" t="s">
        <v>680</v>
      </c>
      <c r="C113" s="36" t="s">
        <v>841</v>
      </c>
      <c r="D113" s="251" t="str">
        <f t="shared" si="1"/>
        <v>CAYLLOMA,TAPAY</v>
      </c>
    </row>
    <row r="114">
      <c r="A114" s="36" t="s">
        <v>679</v>
      </c>
      <c r="B114" s="36" t="s">
        <v>725</v>
      </c>
      <c r="C114" s="36" t="s">
        <v>846</v>
      </c>
      <c r="D114" s="251" t="str">
        <f t="shared" si="1"/>
        <v>LA UNION,TAURIA</v>
      </c>
    </row>
    <row r="115">
      <c r="A115" s="36" t="s">
        <v>679</v>
      </c>
      <c r="B115" s="36" t="s">
        <v>680</v>
      </c>
      <c r="C115" s="36" t="s">
        <v>851</v>
      </c>
      <c r="D115" s="251" t="str">
        <f t="shared" si="1"/>
        <v>CAYLLOMA,TISCO</v>
      </c>
    </row>
    <row r="116">
      <c r="A116" s="36" t="s">
        <v>679</v>
      </c>
      <c r="B116" s="36" t="s">
        <v>680</v>
      </c>
      <c r="C116" s="36" t="s">
        <v>856</v>
      </c>
      <c r="D116" s="251" t="str">
        <f t="shared" si="1"/>
        <v>CAYLLOMA,TUTI</v>
      </c>
    </row>
    <row r="117">
      <c r="A117" s="36" t="s">
        <v>679</v>
      </c>
      <c r="B117" s="36" t="s">
        <v>731</v>
      </c>
      <c r="C117" s="36" t="s">
        <v>861</v>
      </c>
      <c r="D117" s="251" t="str">
        <f t="shared" si="1"/>
        <v>CONDESUYOS,YANAQUIHUA</v>
      </c>
    </row>
    <row r="118">
      <c r="A118" s="36" t="s">
        <v>679</v>
      </c>
      <c r="B118" s="36" t="s">
        <v>680</v>
      </c>
      <c r="C118" s="36" t="s">
        <v>866</v>
      </c>
      <c r="D118" s="251" t="str">
        <f t="shared" si="1"/>
        <v>CAYLLOMA,YANQUE</v>
      </c>
    </row>
    <row r="119">
      <c r="A119" s="36" t="s">
        <v>872</v>
      </c>
      <c r="B119" s="36" t="s">
        <v>873</v>
      </c>
      <c r="C119" s="36" t="s">
        <v>874</v>
      </c>
      <c r="D119" s="251" t="str">
        <f t="shared" si="1"/>
        <v>VICTOR FAJARDO,APONGO</v>
      </c>
    </row>
    <row r="120">
      <c r="A120" s="36" t="s">
        <v>872</v>
      </c>
      <c r="B120" s="36" t="s">
        <v>879</v>
      </c>
      <c r="C120" s="36" t="s">
        <v>880</v>
      </c>
      <c r="D120" s="251" t="str">
        <f t="shared" si="1"/>
        <v>LUCANAS,AUCARA</v>
      </c>
    </row>
    <row r="121">
      <c r="A121" s="36" t="s">
        <v>872</v>
      </c>
      <c r="B121" s="36" t="s">
        <v>888</v>
      </c>
      <c r="C121" s="36" t="s">
        <v>889</v>
      </c>
      <c r="D121" s="251" t="str">
        <f t="shared" si="1"/>
        <v>HUANCA SANCOS,CARAPO</v>
      </c>
    </row>
    <row r="122">
      <c r="A122" s="36" t="s">
        <v>872</v>
      </c>
      <c r="B122" s="36" t="s">
        <v>879</v>
      </c>
      <c r="C122" s="36" t="s">
        <v>895</v>
      </c>
      <c r="D122" s="251" t="str">
        <f t="shared" si="1"/>
        <v>LUCANAS,CARMEN SALCEDO</v>
      </c>
    </row>
    <row r="123">
      <c r="A123" s="36" t="s">
        <v>872</v>
      </c>
      <c r="B123" s="36" t="s">
        <v>900</v>
      </c>
      <c r="C123" s="36" t="s">
        <v>901</v>
      </c>
      <c r="D123" s="251" t="str">
        <f t="shared" si="1"/>
        <v>VILCAS HUAMAN,CONCEPCION</v>
      </c>
    </row>
    <row r="124">
      <c r="A124" s="36" t="s">
        <v>872</v>
      </c>
      <c r="B124" s="36" t="s">
        <v>906</v>
      </c>
      <c r="C124" s="36" t="s">
        <v>907</v>
      </c>
      <c r="D124" s="251" t="str">
        <f t="shared" si="1"/>
        <v>PARINACOCHAS,CORACORA</v>
      </c>
    </row>
    <row r="125">
      <c r="A125" s="36" t="s">
        <v>872</v>
      </c>
      <c r="B125" s="36" t="s">
        <v>912</v>
      </c>
      <c r="C125" s="36" t="s">
        <v>913</v>
      </c>
      <c r="D125" s="251" t="str">
        <f t="shared" si="1"/>
        <v>SUCRE,HUACAÑA</v>
      </c>
    </row>
    <row r="126">
      <c r="A126" s="36" t="s">
        <v>872</v>
      </c>
      <c r="B126" s="36" t="s">
        <v>873</v>
      </c>
      <c r="C126" s="36" t="s">
        <v>919</v>
      </c>
      <c r="D126" s="251" t="str">
        <f t="shared" si="1"/>
        <v>VICTOR FAJARDO,HUANCARAYLLA</v>
      </c>
    </row>
    <row r="127">
      <c r="A127" s="36" t="s">
        <v>872</v>
      </c>
      <c r="B127" s="36" t="s">
        <v>873</v>
      </c>
      <c r="C127" s="36" t="s">
        <v>919</v>
      </c>
      <c r="D127" s="251" t="str">
        <f t="shared" si="1"/>
        <v>VICTOR FAJARDO,HUANCARAYLLA</v>
      </c>
    </row>
    <row r="128">
      <c r="A128" s="36" t="s">
        <v>872</v>
      </c>
      <c r="B128" s="36" t="s">
        <v>879</v>
      </c>
      <c r="C128" s="36" t="s">
        <v>927</v>
      </c>
      <c r="D128" s="251" t="str">
        <f t="shared" si="1"/>
        <v>LUCANAS,LARAMATE</v>
      </c>
    </row>
    <row r="129">
      <c r="A129" s="36" t="s">
        <v>872</v>
      </c>
      <c r="B129" s="36" t="s">
        <v>879</v>
      </c>
      <c r="C129" s="36" t="s">
        <v>927</v>
      </c>
      <c r="D129" s="251" t="str">
        <f t="shared" si="1"/>
        <v>LUCANAS,LARAMATE</v>
      </c>
    </row>
    <row r="130">
      <c r="A130" s="36" t="s">
        <v>872</v>
      </c>
      <c r="B130" s="36" t="s">
        <v>879</v>
      </c>
      <c r="C130" s="61" t="s">
        <v>935</v>
      </c>
      <c r="D130" s="251" t="str">
        <f t="shared" si="1"/>
        <v>LUCANAS,LEONCIO PRADO</v>
      </c>
    </row>
    <row r="131">
      <c r="A131" s="36" t="s">
        <v>872</v>
      </c>
      <c r="B131" s="36" t="s">
        <v>879</v>
      </c>
      <c r="C131" s="36" t="s">
        <v>941</v>
      </c>
      <c r="D131" s="251" t="str">
        <f t="shared" si="1"/>
        <v>LUCANAS,LLAUTA</v>
      </c>
    </row>
    <row r="132">
      <c r="A132" s="36" t="s">
        <v>872</v>
      </c>
      <c r="B132" s="36" t="s">
        <v>879</v>
      </c>
      <c r="C132" s="36" t="s">
        <v>879</v>
      </c>
      <c r="D132" s="251" t="str">
        <f t="shared" si="1"/>
        <v>LUCANAS,LUCANAS</v>
      </c>
    </row>
    <row r="133">
      <c r="A133" s="36" t="s">
        <v>872</v>
      </c>
      <c r="B133" s="36" t="s">
        <v>879</v>
      </c>
      <c r="C133" s="36" t="s">
        <v>950</v>
      </c>
      <c r="D133" s="251" t="str">
        <f t="shared" si="1"/>
        <v>LUCANAS,OCAÑA</v>
      </c>
    </row>
    <row r="134">
      <c r="A134" s="36" t="s">
        <v>872</v>
      </c>
      <c r="B134" s="36" t="s">
        <v>955</v>
      </c>
      <c r="C134" s="36" t="s">
        <v>956</v>
      </c>
      <c r="D134" s="251" t="str">
        <f t="shared" si="1"/>
        <v>LA MAR,ORONCCOY</v>
      </c>
    </row>
    <row r="135">
      <c r="A135" s="36" t="s">
        <v>872</v>
      </c>
      <c r="B135" s="36" t="s">
        <v>961</v>
      </c>
      <c r="C135" s="36" t="s">
        <v>962</v>
      </c>
      <c r="D135" s="251" t="str">
        <f t="shared" si="1"/>
        <v>PAUCAR DEL SARA SARA,OYOLO</v>
      </c>
    </row>
    <row r="136">
      <c r="A136" s="142" t="s">
        <v>872</v>
      </c>
      <c r="B136" s="142" t="s">
        <v>961</v>
      </c>
      <c r="C136" s="142" t="s">
        <v>962</v>
      </c>
      <c r="D136" s="251" t="str">
        <f t="shared" si="1"/>
        <v>PAUCAR DEL SARA SARA,OYOLO</v>
      </c>
    </row>
    <row r="137">
      <c r="A137" s="142" t="s">
        <v>872</v>
      </c>
      <c r="B137" s="142" t="s">
        <v>973</v>
      </c>
      <c r="C137" s="142" t="s">
        <v>974</v>
      </c>
      <c r="D137" s="251" t="str">
        <f t="shared" si="1"/>
        <v>HUANTA,PUCACOLPA</v>
      </c>
    </row>
    <row r="138">
      <c r="A138" s="142" t="s">
        <v>872</v>
      </c>
      <c r="B138" s="142" t="s">
        <v>906</v>
      </c>
      <c r="C138" s="142" t="s">
        <v>980</v>
      </c>
      <c r="D138" s="251" t="str">
        <f t="shared" si="1"/>
        <v>PARINACOCHAS,PULLO</v>
      </c>
    </row>
    <row r="139">
      <c r="A139" s="142" t="s">
        <v>872</v>
      </c>
      <c r="B139" s="142" t="s">
        <v>973</v>
      </c>
      <c r="C139" s="142" t="s">
        <v>987</v>
      </c>
      <c r="D139" s="251" t="str">
        <f t="shared" si="1"/>
        <v>HUANTA,PUTIS</v>
      </c>
    </row>
    <row r="140">
      <c r="A140" s="142" t="s">
        <v>872</v>
      </c>
      <c r="B140" s="142" t="s">
        <v>973</v>
      </c>
      <c r="C140" s="142" t="s">
        <v>987</v>
      </c>
      <c r="D140" s="251" t="str">
        <f t="shared" si="1"/>
        <v>HUANTA,PUTIS</v>
      </c>
    </row>
    <row r="141">
      <c r="A141" s="142" t="s">
        <v>872</v>
      </c>
      <c r="B141" s="142" t="s">
        <v>888</v>
      </c>
      <c r="C141" s="142" t="s">
        <v>999</v>
      </c>
      <c r="D141" s="251" t="str">
        <f t="shared" si="1"/>
        <v>HUANCA SANCOS,SACSAMARCA</v>
      </c>
    </row>
    <row r="142">
      <c r="A142" s="142" t="s">
        <v>872</v>
      </c>
      <c r="B142" s="142" t="s">
        <v>879</v>
      </c>
      <c r="C142" s="142" t="s">
        <v>1006</v>
      </c>
      <c r="D142" s="251" t="str">
        <f t="shared" si="1"/>
        <v>LUCANAS,SAISA</v>
      </c>
    </row>
    <row r="143">
      <c r="A143" s="142" t="s">
        <v>872</v>
      </c>
      <c r="B143" s="142" t="s">
        <v>912</v>
      </c>
      <c r="C143" s="142" t="s">
        <v>1012</v>
      </c>
      <c r="D143" s="251" t="str">
        <f t="shared" si="1"/>
        <v>SUCRE,SAN PEDRO DE LARCAY</v>
      </c>
    </row>
    <row r="144">
      <c r="A144" s="142" t="s">
        <v>872</v>
      </c>
      <c r="B144" s="142" t="s">
        <v>879</v>
      </c>
      <c r="C144" s="142" t="s">
        <v>1019</v>
      </c>
      <c r="D144" s="251" t="str">
        <f t="shared" si="1"/>
        <v>LUCANAS,SAN PEDRO DE PALCO</v>
      </c>
    </row>
    <row r="145">
      <c r="A145" s="142" t="s">
        <v>872</v>
      </c>
      <c r="B145" s="142" t="s">
        <v>888</v>
      </c>
      <c r="C145" s="142" t="s">
        <v>1025</v>
      </c>
      <c r="D145" s="251" t="str">
        <f t="shared" si="1"/>
        <v>HUANCA SANCOS,SANCOS</v>
      </c>
    </row>
    <row r="146">
      <c r="A146" s="142" t="s">
        <v>872</v>
      </c>
      <c r="B146" s="142" t="s">
        <v>879</v>
      </c>
      <c r="C146" s="142" t="s">
        <v>1025</v>
      </c>
      <c r="D146" s="251" t="str">
        <f t="shared" si="1"/>
        <v>LUCANAS,SANCOS</v>
      </c>
    </row>
    <row r="147">
      <c r="A147" s="142" t="s">
        <v>872</v>
      </c>
      <c r="B147" s="142" t="s">
        <v>879</v>
      </c>
      <c r="C147" s="142" t="s">
        <v>1038</v>
      </c>
      <c r="D147" s="251" t="str">
        <f t="shared" si="1"/>
        <v>LUCANAS,SANTA LUCIA</v>
      </c>
    </row>
    <row r="148">
      <c r="A148" s="142" t="s">
        <v>872</v>
      </c>
      <c r="B148" s="142" t="s">
        <v>888</v>
      </c>
      <c r="C148" s="142" t="s">
        <v>1045</v>
      </c>
      <c r="D148" s="251" t="str">
        <f t="shared" si="1"/>
        <v>HUANCA SANCOS,SANTIAGO DE LUCANAMARCA</v>
      </c>
    </row>
    <row r="149">
      <c r="A149" s="142" t="s">
        <v>872</v>
      </c>
      <c r="B149" s="142" t="s">
        <v>912</v>
      </c>
      <c r="C149" s="142" t="s">
        <v>1051</v>
      </c>
      <c r="D149" s="251" t="str">
        <f t="shared" si="1"/>
        <v>SUCRE,SORAS</v>
      </c>
    </row>
    <row r="150">
      <c r="A150" s="142" t="s">
        <v>872</v>
      </c>
      <c r="B150" s="142" t="s">
        <v>906</v>
      </c>
      <c r="C150" s="142" t="s">
        <v>1058</v>
      </c>
      <c r="D150" s="251" t="str">
        <f t="shared" si="1"/>
        <v>PARINACOCHAS,UPAHUACHO</v>
      </c>
    </row>
    <row r="151">
      <c r="A151" s="142" t="s">
        <v>872</v>
      </c>
      <c r="B151" s="142" t="s">
        <v>906</v>
      </c>
      <c r="C151" s="142" t="s">
        <v>1058</v>
      </c>
      <c r="D151" s="251" t="str">
        <f t="shared" si="1"/>
        <v>PARINACOCHAS,UPAHUACHO</v>
      </c>
    </row>
    <row r="152">
      <c r="A152" s="142" t="s">
        <v>872</v>
      </c>
      <c r="B152" s="142" t="s">
        <v>873</v>
      </c>
      <c r="C152" s="142" t="s">
        <v>1067</v>
      </c>
      <c r="D152" s="251" t="str">
        <f t="shared" si="1"/>
        <v>VICTOR FAJARDO,VILCANCHOS</v>
      </c>
    </row>
    <row r="153">
      <c r="A153" s="142" t="s">
        <v>1073</v>
      </c>
      <c r="B153" s="142" t="s">
        <v>1074</v>
      </c>
      <c r="C153" s="142" t="s">
        <v>1075</v>
      </c>
      <c r="D153" s="251" t="str">
        <f t="shared" si="1"/>
        <v>SAN MIGUEL,CALQUIS</v>
      </c>
    </row>
    <row r="154">
      <c r="A154" s="142" t="s">
        <v>1073</v>
      </c>
      <c r="B154" s="142" t="s">
        <v>1074</v>
      </c>
      <c r="C154" s="142" t="s">
        <v>1083</v>
      </c>
      <c r="D154" s="251" t="str">
        <f t="shared" si="1"/>
        <v>SAN MIGUEL,EL PRADO</v>
      </c>
    </row>
    <row r="155">
      <c r="A155" s="142" t="s">
        <v>1073</v>
      </c>
      <c r="B155" s="142" t="s">
        <v>1074</v>
      </c>
      <c r="C155" s="142" t="s">
        <v>1083</v>
      </c>
      <c r="D155" s="251" t="str">
        <f t="shared" si="1"/>
        <v>SAN MIGUEL,EL PRADO</v>
      </c>
    </row>
    <row r="156">
      <c r="A156" s="142" t="s">
        <v>1073</v>
      </c>
      <c r="B156" s="142" t="s">
        <v>1094</v>
      </c>
      <c r="C156" s="142" t="s">
        <v>1095</v>
      </c>
      <c r="D156" s="251" t="str">
        <f t="shared" si="1"/>
        <v>CHOTA,MIRACOSTA</v>
      </c>
    </row>
    <row r="157">
      <c r="A157" s="142" t="s">
        <v>1073</v>
      </c>
      <c r="B157" s="142" t="s">
        <v>1074</v>
      </c>
      <c r="C157" s="142" t="s">
        <v>1103</v>
      </c>
      <c r="D157" s="251" t="str">
        <f t="shared" si="1"/>
        <v>SAN MIGUEL,NIEPOS</v>
      </c>
    </row>
    <row r="158">
      <c r="A158" s="142" t="s">
        <v>1073</v>
      </c>
      <c r="B158" s="142" t="s">
        <v>1094</v>
      </c>
      <c r="C158" s="142" t="s">
        <v>1109</v>
      </c>
      <c r="D158" s="251" t="str">
        <f t="shared" si="1"/>
        <v>CHOTA,SAN JUAN DE LICUPIS</v>
      </c>
    </row>
    <row r="159">
      <c r="A159" s="142" t="s">
        <v>1073</v>
      </c>
      <c r="B159" s="142" t="s">
        <v>1118</v>
      </c>
      <c r="C159" s="142" t="s">
        <v>1119</v>
      </c>
      <c r="D159" s="251" t="str">
        <f t="shared" si="1"/>
        <v>SAN PABLO,TUMBADEN</v>
      </c>
    </row>
    <row r="160">
      <c r="A160" s="142" t="s">
        <v>1073</v>
      </c>
      <c r="B160" s="142" t="s">
        <v>1074</v>
      </c>
      <c r="C160" s="142" t="s">
        <v>1124</v>
      </c>
      <c r="D160" s="251" t="str">
        <f t="shared" si="1"/>
        <v>SAN MIGUEL,UNION AGUA BLANCA</v>
      </c>
    </row>
    <row r="161">
      <c r="A161" s="142" t="s">
        <v>1073</v>
      </c>
      <c r="B161" s="142" t="s">
        <v>1074</v>
      </c>
      <c r="C161" s="142" t="s">
        <v>1124</v>
      </c>
      <c r="D161" s="251" t="str">
        <f t="shared" si="1"/>
        <v>SAN MIGUEL,UNION AGUA BLANCA</v>
      </c>
    </row>
    <row r="162">
      <c r="A162" s="142" t="s">
        <v>1073</v>
      </c>
      <c r="B162" s="142" t="s">
        <v>1134</v>
      </c>
      <c r="C162" s="142" t="s">
        <v>1135</v>
      </c>
      <c r="D162" s="251" t="str">
        <f t="shared" si="1"/>
        <v>CELENDIN,UTCO</v>
      </c>
    </row>
    <row r="163">
      <c r="A163" s="142" t="s">
        <v>1141</v>
      </c>
      <c r="B163" s="142" t="s">
        <v>1142</v>
      </c>
      <c r="C163" s="142" t="s">
        <v>1143</v>
      </c>
      <c r="D163" s="251" t="str">
        <f t="shared" si="1"/>
        <v>QUISPICANCHI,CAMANTI</v>
      </c>
    </row>
    <row r="164">
      <c r="A164" s="142" t="s">
        <v>1141</v>
      </c>
      <c r="B164" s="142" t="s">
        <v>1142</v>
      </c>
      <c r="C164" s="142" t="s">
        <v>1143</v>
      </c>
      <c r="D164" s="251" t="str">
        <f t="shared" si="1"/>
        <v>QUISPICANCHI,CAMANTI</v>
      </c>
    </row>
    <row r="165">
      <c r="A165" s="142" t="s">
        <v>1141</v>
      </c>
      <c r="B165" s="142" t="s">
        <v>1156</v>
      </c>
      <c r="C165" s="142" t="s">
        <v>1157</v>
      </c>
      <c r="D165" s="251" t="str">
        <f t="shared" si="1"/>
        <v>PAUCARTAMBO,CHALLABAMBA</v>
      </c>
    </row>
    <row r="166">
      <c r="A166" s="142" t="s">
        <v>1141</v>
      </c>
      <c r="B166" s="142" t="s">
        <v>1163</v>
      </c>
      <c r="C166" s="142" t="s">
        <v>1164</v>
      </c>
      <c r="D166" s="251" t="str">
        <f t="shared" si="1"/>
        <v>CANCHIS,CHECACUPE</v>
      </c>
    </row>
    <row r="167">
      <c r="A167" s="142" t="s">
        <v>1141</v>
      </c>
      <c r="B167" s="142" t="s">
        <v>1163</v>
      </c>
      <c r="C167" s="142" t="s">
        <v>1170</v>
      </c>
      <c r="D167" s="251" t="str">
        <f t="shared" si="1"/>
        <v>CANCHIS,COMBAPATA</v>
      </c>
    </row>
    <row r="168">
      <c r="A168" s="36" t="s">
        <v>1141</v>
      </c>
      <c r="B168" s="36" t="s">
        <v>1177</v>
      </c>
      <c r="C168" s="36" t="s">
        <v>1178</v>
      </c>
      <c r="D168" s="251" t="str">
        <f t="shared" si="1"/>
        <v>ESPINAR,CONDOROMA</v>
      </c>
    </row>
    <row r="169">
      <c r="A169" s="36" t="s">
        <v>1141</v>
      </c>
      <c r="B169" s="36" t="s">
        <v>1177</v>
      </c>
      <c r="C169" s="36" t="s">
        <v>1186</v>
      </c>
      <c r="D169" s="251" t="str">
        <f t="shared" si="1"/>
        <v>ESPINAR,COPORAQUE</v>
      </c>
    </row>
    <row r="170">
      <c r="A170" s="36" t="s">
        <v>1141</v>
      </c>
      <c r="B170" s="36" t="s">
        <v>1195</v>
      </c>
      <c r="C170" s="36" t="s">
        <v>1196</v>
      </c>
      <c r="D170" s="251" t="str">
        <f t="shared" si="1"/>
        <v>LA CONVENCION,ECHARATE</v>
      </c>
    </row>
    <row r="171">
      <c r="A171" s="36" t="s">
        <v>1141</v>
      </c>
      <c r="B171" s="36" t="s">
        <v>1195</v>
      </c>
      <c r="C171" s="36" t="s">
        <v>1196</v>
      </c>
      <c r="D171" s="251" t="str">
        <f t="shared" si="1"/>
        <v>LA CONVENCION,ECHARATE</v>
      </c>
    </row>
    <row r="172">
      <c r="A172" s="36" t="s">
        <v>1141</v>
      </c>
      <c r="B172" s="36" t="s">
        <v>1195</v>
      </c>
      <c r="C172" s="36" t="s">
        <v>1211</v>
      </c>
      <c r="D172" s="251" t="str">
        <f t="shared" si="1"/>
        <v>LA CONVENCION,KUMPIRUSHIATO</v>
      </c>
    </row>
    <row r="173">
      <c r="A173" s="36" t="s">
        <v>1141</v>
      </c>
      <c r="B173" s="36" t="s">
        <v>1195</v>
      </c>
      <c r="C173" s="36" t="s">
        <v>1211</v>
      </c>
      <c r="D173" s="251" t="str">
        <f t="shared" si="1"/>
        <v>LA CONVENCION,KUMPIRUSHIATO</v>
      </c>
    </row>
    <row r="174">
      <c r="A174" s="36" t="s">
        <v>1141</v>
      </c>
      <c r="B174" s="36" t="s">
        <v>1223</v>
      </c>
      <c r="C174" s="61" t="s">
        <v>1224</v>
      </c>
      <c r="D174" s="251" t="str">
        <f t="shared" si="1"/>
        <v>CALCA,LARES</v>
      </c>
    </row>
    <row r="175">
      <c r="A175" s="36" t="s">
        <v>1141</v>
      </c>
      <c r="B175" s="36" t="s">
        <v>1223</v>
      </c>
      <c r="C175" s="36" t="s">
        <v>1224</v>
      </c>
      <c r="D175" s="251" t="str">
        <f t="shared" si="1"/>
        <v>CALCA,LARES</v>
      </c>
    </row>
    <row r="176">
      <c r="A176" s="36" t="s">
        <v>1141</v>
      </c>
      <c r="B176" s="36" t="s">
        <v>1142</v>
      </c>
      <c r="C176" s="36" t="s">
        <v>1234</v>
      </c>
      <c r="D176" s="251" t="str">
        <f t="shared" si="1"/>
        <v>QUISPICANCHI,MARCAPATA</v>
      </c>
    </row>
    <row r="177">
      <c r="A177" s="36" t="s">
        <v>1141</v>
      </c>
      <c r="B177" s="36" t="s">
        <v>1142</v>
      </c>
      <c r="C177" s="36" t="s">
        <v>1234</v>
      </c>
      <c r="D177" s="251" t="str">
        <f t="shared" si="1"/>
        <v>QUISPICANCHI,MARCAPATA</v>
      </c>
    </row>
    <row r="178">
      <c r="A178" s="36" t="s">
        <v>1141</v>
      </c>
      <c r="B178" s="36" t="s">
        <v>1195</v>
      </c>
      <c r="C178" s="36" t="s">
        <v>1245</v>
      </c>
      <c r="D178" s="251" t="str">
        <f t="shared" si="1"/>
        <v>LA CONVENCION,MEGANTONI</v>
      </c>
    </row>
    <row r="179">
      <c r="A179" s="36" t="s">
        <v>1141</v>
      </c>
      <c r="B179" s="36" t="s">
        <v>1195</v>
      </c>
      <c r="C179" s="36" t="s">
        <v>1245</v>
      </c>
      <c r="D179" s="251" t="str">
        <f t="shared" si="1"/>
        <v>LA CONVENCION,MEGANTONI</v>
      </c>
    </row>
    <row r="180">
      <c r="A180" s="36" t="s">
        <v>1141</v>
      </c>
      <c r="B180" s="36" t="s">
        <v>1177</v>
      </c>
      <c r="C180" s="36" t="s">
        <v>1255</v>
      </c>
      <c r="D180" s="251" t="str">
        <f t="shared" si="1"/>
        <v>ESPINAR,OCORURO</v>
      </c>
    </row>
    <row r="181">
      <c r="A181" s="36" t="s">
        <v>1141</v>
      </c>
      <c r="B181" s="36" t="s">
        <v>1177</v>
      </c>
      <c r="C181" s="36" t="s">
        <v>1262</v>
      </c>
      <c r="D181" s="251" t="str">
        <f t="shared" si="1"/>
        <v>ESPINAR,PALLPATA</v>
      </c>
    </row>
    <row r="182">
      <c r="A182" s="36" t="s">
        <v>1141</v>
      </c>
      <c r="B182" s="36" t="s">
        <v>1163</v>
      </c>
      <c r="C182" s="36" t="s">
        <v>1269</v>
      </c>
      <c r="D182" s="251" t="str">
        <f t="shared" si="1"/>
        <v>CANCHIS,PITUMARCA</v>
      </c>
    </row>
    <row r="183">
      <c r="A183" s="36" t="s">
        <v>1141</v>
      </c>
      <c r="B183" s="36" t="s">
        <v>1163</v>
      </c>
      <c r="C183" s="36" t="s">
        <v>1269</v>
      </c>
      <c r="D183" s="251" t="str">
        <f t="shared" si="1"/>
        <v>CANCHIS,PITUMARCA</v>
      </c>
    </row>
    <row r="184">
      <c r="A184" s="36" t="s">
        <v>1141</v>
      </c>
      <c r="B184" s="36" t="s">
        <v>1195</v>
      </c>
      <c r="C184" s="61" t="s">
        <v>1280</v>
      </c>
      <c r="D184" s="251" t="str">
        <f t="shared" si="1"/>
        <v>LA CONVENCION,QUELLOUNO</v>
      </c>
    </row>
    <row r="185">
      <c r="A185" s="36" t="s">
        <v>1141</v>
      </c>
      <c r="B185" s="36" t="s">
        <v>1284</v>
      </c>
      <c r="C185" s="36" t="s">
        <v>1285</v>
      </c>
      <c r="D185" s="251" t="str">
        <f t="shared" si="1"/>
        <v>CHUMBIVILCAS,QUIÑOTA</v>
      </c>
    </row>
    <row r="186">
      <c r="A186" s="36" t="s">
        <v>1141</v>
      </c>
      <c r="B186" s="36" t="s">
        <v>1294</v>
      </c>
      <c r="C186" s="36" t="s">
        <v>1295</v>
      </c>
      <c r="D186" s="251" t="str">
        <f t="shared" si="1"/>
        <v>ACOMAYO,RONDOCAN</v>
      </c>
    </row>
    <row r="187">
      <c r="A187" s="36" t="s">
        <v>1141</v>
      </c>
      <c r="B187" s="36" t="s">
        <v>1294</v>
      </c>
      <c r="C187" s="36" t="s">
        <v>1295</v>
      </c>
      <c r="D187" s="251" t="str">
        <f t="shared" si="1"/>
        <v>ACOMAYO,RONDOCAN</v>
      </c>
    </row>
    <row r="188">
      <c r="A188" s="36" t="s">
        <v>1141</v>
      </c>
      <c r="B188" s="36" t="s">
        <v>1163</v>
      </c>
      <c r="C188" s="36" t="s">
        <v>1118</v>
      </c>
      <c r="D188" s="251" t="str">
        <f t="shared" si="1"/>
        <v>CANCHIS,SAN PABLO</v>
      </c>
    </row>
    <row r="189">
      <c r="A189" s="36" t="s">
        <v>1141</v>
      </c>
      <c r="B189" s="36" t="s">
        <v>1177</v>
      </c>
      <c r="C189" s="36" t="s">
        <v>1312</v>
      </c>
      <c r="D189" s="251" t="str">
        <f t="shared" si="1"/>
        <v>ESPINAR,SUYCKUTAMBO</v>
      </c>
    </row>
    <row r="190">
      <c r="A190" s="36" t="s">
        <v>1141</v>
      </c>
      <c r="B190" s="36" t="s">
        <v>1223</v>
      </c>
      <c r="C190" s="36" t="s">
        <v>1318</v>
      </c>
      <c r="D190" s="251" t="str">
        <f t="shared" si="1"/>
        <v>CALCA,YANATILE</v>
      </c>
    </row>
    <row r="191">
      <c r="A191" s="36" t="s">
        <v>1141</v>
      </c>
      <c r="B191" s="36" t="s">
        <v>1324</v>
      </c>
      <c r="C191" s="36" t="s">
        <v>1325</v>
      </c>
      <c r="D191" s="251" t="str">
        <f t="shared" si="1"/>
        <v>PARURO,YAURISQUE</v>
      </c>
    </row>
    <row r="192">
      <c r="A192" s="36" t="s">
        <v>1332</v>
      </c>
      <c r="B192" s="36" t="s">
        <v>1333</v>
      </c>
      <c r="C192" s="61" t="s">
        <v>1334</v>
      </c>
      <c r="D192" s="251" t="str">
        <f t="shared" si="1"/>
        <v>CASTROVIRREYNA,ARMA</v>
      </c>
    </row>
    <row r="193">
      <c r="A193" s="36" t="s">
        <v>1332</v>
      </c>
      <c r="B193" s="36" t="s">
        <v>1332</v>
      </c>
      <c r="C193" s="36" t="s">
        <v>1340</v>
      </c>
      <c r="D193" s="251" t="str">
        <f t="shared" si="1"/>
        <v>HUANCAVELICA,ASCENSION</v>
      </c>
    </row>
    <row r="194">
      <c r="A194" s="36" t="s">
        <v>1332</v>
      </c>
      <c r="B194" s="36" t="s">
        <v>1348</v>
      </c>
      <c r="C194" s="36" t="s">
        <v>1349</v>
      </c>
      <c r="D194" s="251" t="str">
        <f t="shared" si="1"/>
        <v>HUAYTARA,AYAVI</v>
      </c>
    </row>
    <row r="195">
      <c r="A195" s="36" t="s">
        <v>1332</v>
      </c>
      <c r="B195" s="36" t="s">
        <v>1333</v>
      </c>
      <c r="C195" s="36" t="s">
        <v>1356</v>
      </c>
      <c r="D195" s="251" t="str">
        <f t="shared" si="1"/>
        <v>CASTROVIRREYNA,CAPILLAS</v>
      </c>
    </row>
    <row r="196">
      <c r="A196" s="36" t="s">
        <v>1332</v>
      </c>
      <c r="B196" s="36" t="s">
        <v>1362</v>
      </c>
      <c r="C196" s="36" t="s">
        <v>1363</v>
      </c>
      <c r="D196" s="251" t="str">
        <f t="shared" si="1"/>
        <v>TAYACAJA,COCHABAMBA</v>
      </c>
    </row>
    <row r="197">
      <c r="A197" s="36" t="s">
        <v>1332</v>
      </c>
      <c r="B197" s="36" t="s">
        <v>1362</v>
      </c>
      <c r="C197" s="36" t="s">
        <v>1363</v>
      </c>
      <c r="D197" s="251" t="str">
        <f t="shared" si="1"/>
        <v>TAYACAJA,COCHABAMBA</v>
      </c>
    </row>
    <row r="198">
      <c r="A198" s="36" t="s">
        <v>1332</v>
      </c>
      <c r="B198" s="36" t="s">
        <v>1332</v>
      </c>
      <c r="C198" s="36" t="s">
        <v>1375</v>
      </c>
      <c r="D198" s="251" t="str">
        <f t="shared" si="1"/>
        <v>HUANCAVELICA,HUACHOCOLPA</v>
      </c>
    </row>
    <row r="199">
      <c r="A199" s="36" t="s">
        <v>1332</v>
      </c>
      <c r="B199" s="36" t="s">
        <v>1332</v>
      </c>
      <c r="C199" s="36" t="s">
        <v>1375</v>
      </c>
      <c r="D199" s="251" t="str">
        <f t="shared" si="1"/>
        <v>HUANCAVELICA,HUACHOCOLPA</v>
      </c>
    </row>
    <row r="200">
      <c r="A200" s="36" t="s">
        <v>1332</v>
      </c>
      <c r="B200" s="36" t="s">
        <v>1333</v>
      </c>
      <c r="C200" s="36" t="s">
        <v>1386</v>
      </c>
      <c r="D200" s="251" t="str">
        <f t="shared" si="1"/>
        <v>CASTROVIRREYNA,HUAMATAMBO</v>
      </c>
    </row>
    <row r="201">
      <c r="A201" s="36" t="s">
        <v>1332</v>
      </c>
      <c r="B201" s="36" t="s">
        <v>1348</v>
      </c>
      <c r="C201" s="61" t="s">
        <v>1393</v>
      </c>
      <c r="D201" s="251" t="str">
        <f t="shared" si="1"/>
        <v>HUAYTARA,HUAYACUNDO ARMA</v>
      </c>
    </row>
    <row r="202">
      <c r="A202" s="36" t="s">
        <v>1332</v>
      </c>
      <c r="B202" s="36" t="s">
        <v>1348</v>
      </c>
      <c r="C202" s="36" t="s">
        <v>1393</v>
      </c>
      <c r="D202" s="251" t="str">
        <f t="shared" si="1"/>
        <v>HUAYTARA,HUAYACUNDO ARMA</v>
      </c>
    </row>
    <row r="203">
      <c r="A203" s="36" t="s">
        <v>1332</v>
      </c>
      <c r="B203" s="36" t="s">
        <v>1332</v>
      </c>
      <c r="C203" s="36" t="s">
        <v>1402</v>
      </c>
      <c r="D203" s="251" t="str">
        <f t="shared" si="1"/>
        <v>HUANCAVELICA,MANTA</v>
      </c>
    </row>
    <row r="204">
      <c r="A204" s="36" t="s">
        <v>1332</v>
      </c>
      <c r="B204" s="36" t="s">
        <v>1332</v>
      </c>
      <c r="C204" s="36" t="s">
        <v>1407</v>
      </c>
      <c r="D204" s="251" t="str">
        <f t="shared" si="1"/>
        <v>HUANCAVELICA,NUEVO OCCORO</v>
      </c>
    </row>
    <row r="205">
      <c r="A205" s="36" t="s">
        <v>1332</v>
      </c>
      <c r="B205" s="36" t="s">
        <v>1362</v>
      </c>
      <c r="C205" s="36" t="s">
        <v>1412</v>
      </c>
      <c r="D205" s="251" t="str">
        <f t="shared" si="1"/>
        <v>TAYACAJA,PICHOS</v>
      </c>
    </row>
    <row r="206">
      <c r="A206" s="36" t="s">
        <v>1332</v>
      </c>
      <c r="B206" s="36" t="s">
        <v>1348</v>
      </c>
      <c r="C206" s="36" t="s">
        <v>1418</v>
      </c>
      <c r="D206" s="251" t="str">
        <f t="shared" si="1"/>
        <v>HUAYTARA,PILPICHACA</v>
      </c>
    </row>
    <row r="207">
      <c r="A207" s="36" t="s">
        <v>1332</v>
      </c>
      <c r="B207" s="36" t="s">
        <v>1348</v>
      </c>
      <c r="C207" s="36" t="s">
        <v>1424</v>
      </c>
      <c r="D207" s="251" t="str">
        <f t="shared" si="1"/>
        <v>HUAYTARA,QUERCO</v>
      </c>
    </row>
    <row r="208">
      <c r="A208" s="36" t="s">
        <v>1332</v>
      </c>
      <c r="B208" s="36" t="s">
        <v>1348</v>
      </c>
      <c r="C208" s="36" t="s">
        <v>1429</v>
      </c>
      <c r="D208" s="251" t="str">
        <f t="shared" si="1"/>
        <v>HUAYTARA,SAN ANTONIO DE CUSICANCHA</v>
      </c>
    </row>
    <row r="209">
      <c r="A209" s="36" t="s">
        <v>1332</v>
      </c>
      <c r="B209" s="36" t="s">
        <v>1348</v>
      </c>
      <c r="C209" s="36" t="s">
        <v>1434</v>
      </c>
      <c r="D209" s="251" t="str">
        <f t="shared" si="1"/>
        <v>HUAYTARA,SAN ISIDRO</v>
      </c>
    </row>
    <row r="210">
      <c r="A210" s="36" t="s">
        <v>1332</v>
      </c>
      <c r="B210" s="36" t="s">
        <v>1333</v>
      </c>
      <c r="C210" s="36" t="s">
        <v>1440</v>
      </c>
      <c r="D210" s="251" t="str">
        <f t="shared" si="1"/>
        <v>CASTROVIRREYNA,SAN JUAN</v>
      </c>
    </row>
    <row r="211">
      <c r="A211" s="36" t="s">
        <v>1332</v>
      </c>
      <c r="B211" s="36" t="s">
        <v>1333</v>
      </c>
      <c r="C211" s="36" t="s">
        <v>1446</v>
      </c>
      <c r="D211" s="251" t="str">
        <f t="shared" si="1"/>
        <v>CASTROVIRREYNA,SANTA ANA</v>
      </c>
    </row>
    <row r="212">
      <c r="A212" s="36" t="s">
        <v>1332</v>
      </c>
      <c r="B212" s="36" t="s">
        <v>1333</v>
      </c>
      <c r="C212" s="36" t="s">
        <v>1446</v>
      </c>
      <c r="D212" s="251" t="str">
        <f t="shared" si="1"/>
        <v>CASTROVIRREYNA,SANTA ANA</v>
      </c>
    </row>
    <row r="213">
      <c r="A213" s="36" t="s">
        <v>1332</v>
      </c>
      <c r="B213" s="36" t="s">
        <v>1348</v>
      </c>
      <c r="C213" s="36" t="s">
        <v>1454</v>
      </c>
      <c r="D213" s="251" t="str">
        <f t="shared" si="1"/>
        <v>HUAYTARA,SANTIAGO DE CHOCORVOS</v>
      </c>
    </row>
    <row r="214">
      <c r="A214" s="36" t="s">
        <v>1332</v>
      </c>
      <c r="B214" s="36" t="s">
        <v>1348</v>
      </c>
      <c r="C214" s="36" t="s">
        <v>1459</v>
      </c>
      <c r="D214" s="251" t="str">
        <f t="shared" si="1"/>
        <v>HUAYTARA,SANTO DOMINGO DE CAPILLAS</v>
      </c>
    </row>
    <row r="215">
      <c r="A215" s="36" t="s">
        <v>1332</v>
      </c>
      <c r="B215" s="36" t="s">
        <v>1348</v>
      </c>
      <c r="C215" s="36" t="s">
        <v>1464</v>
      </c>
      <c r="D215" s="251" t="str">
        <f t="shared" si="1"/>
        <v>HUAYTARA,TAMBO</v>
      </c>
    </row>
    <row r="216">
      <c r="A216" s="36" t="s">
        <v>1332</v>
      </c>
      <c r="B216" s="36" t="s">
        <v>1348</v>
      </c>
      <c r="C216" s="36" t="s">
        <v>1464</v>
      </c>
      <c r="D216" s="251" t="str">
        <f t="shared" si="1"/>
        <v>HUAYTARA,TAMBO</v>
      </c>
    </row>
    <row r="217">
      <c r="A217" s="36" t="s">
        <v>1332</v>
      </c>
      <c r="B217" s="36" t="s">
        <v>1362</v>
      </c>
      <c r="C217" s="36" t="s">
        <v>1472</v>
      </c>
      <c r="D217" s="251" t="str">
        <f t="shared" si="1"/>
        <v>TAYACAJA,TINTAY PUNCU</v>
      </c>
    </row>
    <row r="218">
      <c r="A218" s="36" t="s">
        <v>1332</v>
      </c>
      <c r="B218" s="36" t="s">
        <v>1332</v>
      </c>
      <c r="C218" s="36" t="s">
        <v>1478</v>
      </c>
      <c r="D218" s="251" t="str">
        <f t="shared" si="1"/>
        <v>HUANCAVELICA,VILCA</v>
      </c>
    </row>
    <row r="219">
      <c r="A219" s="36" t="s">
        <v>1483</v>
      </c>
      <c r="B219" s="36" t="s">
        <v>1484</v>
      </c>
      <c r="C219" s="61" t="s">
        <v>1363</v>
      </c>
      <c r="D219" s="251" t="str">
        <f t="shared" si="1"/>
        <v>HUACAYBAMBA,COCHABAMBA</v>
      </c>
    </row>
    <row r="220">
      <c r="A220" s="36" t="s">
        <v>1483</v>
      </c>
      <c r="B220" s="36" t="s">
        <v>1492</v>
      </c>
      <c r="C220" s="36" t="s">
        <v>1493</v>
      </c>
      <c r="D220" s="251" t="str">
        <f t="shared" si="1"/>
        <v>PUERTO INCA,CODO DEL POZUZO</v>
      </c>
    </row>
    <row r="221">
      <c r="A221" s="36" t="s">
        <v>1483</v>
      </c>
      <c r="B221" s="36" t="s">
        <v>1500</v>
      </c>
      <c r="C221" s="36" t="s">
        <v>1501</v>
      </c>
      <c r="D221" s="251" t="str">
        <f t="shared" si="1"/>
        <v>AMBO,COLPAS</v>
      </c>
    </row>
    <row r="222">
      <c r="A222" s="36" t="s">
        <v>1483</v>
      </c>
      <c r="B222" s="36" t="s">
        <v>1508</v>
      </c>
      <c r="C222" s="36" t="s">
        <v>1509</v>
      </c>
      <c r="D222" s="251" t="str">
        <f t="shared" si="1"/>
        <v>DOS DE MAYO,MARIAS</v>
      </c>
    </row>
    <row r="223">
      <c r="A223" s="36" t="s">
        <v>1483</v>
      </c>
      <c r="B223" s="36" t="s">
        <v>1508</v>
      </c>
      <c r="C223" s="36" t="s">
        <v>1514</v>
      </c>
      <c r="D223" s="251" t="str">
        <f t="shared" si="1"/>
        <v>DOS DE MAYO,PACHAS</v>
      </c>
    </row>
    <row r="224">
      <c r="A224" s="36" t="s">
        <v>1483</v>
      </c>
      <c r="B224" s="36" t="s">
        <v>1492</v>
      </c>
      <c r="C224" s="36" t="s">
        <v>1492</v>
      </c>
      <c r="D224" s="251" t="str">
        <f t="shared" si="1"/>
        <v>PUERTO INCA,PUERTO INCA</v>
      </c>
    </row>
    <row r="225">
      <c r="A225" s="36" t="s">
        <v>1483</v>
      </c>
      <c r="B225" s="36" t="s">
        <v>1523</v>
      </c>
      <c r="C225" s="36" t="s">
        <v>1524</v>
      </c>
      <c r="D225" s="251" t="str">
        <f t="shared" si="1"/>
        <v>HUAMALIES,PUÑOS</v>
      </c>
    </row>
    <row r="226">
      <c r="A226" s="36" t="s">
        <v>1483</v>
      </c>
      <c r="B226" s="36" t="s">
        <v>1529</v>
      </c>
      <c r="C226" s="36" t="s">
        <v>1530</v>
      </c>
      <c r="D226" s="251" t="str">
        <f t="shared" si="1"/>
        <v>LAURICOCHA,QUEROPALCA</v>
      </c>
    </row>
    <row r="227">
      <c r="A227" s="36" t="s">
        <v>1483</v>
      </c>
      <c r="B227" s="36" t="s">
        <v>1508</v>
      </c>
      <c r="C227" s="36" t="s">
        <v>1536</v>
      </c>
      <c r="D227" s="251" t="str">
        <f t="shared" si="1"/>
        <v>DOS DE MAYO,RIPAN</v>
      </c>
    </row>
    <row r="228">
      <c r="A228" s="36" t="s">
        <v>1483</v>
      </c>
      <c r="B228" s="36" t="s">
        <v>1541</v>
      </c>
      <c r="C228" s="36" t="s">
        <v>1542</v>
      </c>
      <c r="D228" s="251" t="str">
        <f t="shared" si="1"/>
        <v>MARAÑON,SAN BUENAVENTURA</v>
      </c>
    </row>
    <row r="229">
      <c r="A229" s="36" t="s">
        <v>1483</v>
      </c>
      <c r="B229" s="36" t="s">
        <v>1529</v>
      </c>
      <c r="C229" s="36" t="s">
        <v>1549</v>
      </c>
      <c r="D229" s="251" t="str">
        <f t="shared" si="1"/>
        <v>LAURICOCHA,SAN MIGUEL DE CAURI</v>
      </c>
    </row>
    <row r="230">
      <c r="A230" s="36" t="s">
        <v>1483</v>
      </c>
      <c r="B230" s="36" t="s">
        <v>1500</v>
      </c>
      <c r="C230" s="36" t="s">
        <v>1554</v>
      </c>
      <c r="D230" s="251" t="str">
        <f t="shared" si="1"/>
        <v>AMBO,TOMAY KICHWA</v>
      </c>
    </row>
    <row r="231">
      <c r="A231" s="36" t="s">
        <v>1483</v>
      </c>
      <c r="B231" s="36" t="s">
        <v>1492</v>
      </c>
      <c r="C231" s="36" t="s">
        <v>1559</v>
      </c>
      <c r="D231" s="251" t="str">
        <f t="shared" si="1"/>
        <v>PUERTO INCA,TOURNAVISTA</v>
      </c>
    </row>
    <row r="232">
      <c r="A232" s="36" t="s">
        <v>1483</v>
      </c>
      <c r="B232" s="36" t="s">
        <v>1492</v>
      </c>
      <c r="C232" s="36" t="s">
        <v>1559</v>
      </c>
      <c r="D232" s="251" t="str">
        <f t="shared" si="1"/>
        <v>PUERTO INCA,TOURNAVISTA</v>
      </c>
    </row>
    <row r="233">
      <c r="A233" s="36" t="s">
        <v>1483</v>
      </c>
      <c r="B233" s="36" t="s">
        <v>1492</v>
      </c>
      <c r="C233" s="36" t="s">
        <v>1567</v>
      </c>
      <c r="D233" s="251" t="str">
        <f t="shared" si="1"/>
        <v>PUERTO INCA,YUYAPICHIS</v>
      </c>
    </row>
    <row r="234">
      <c r="A234" s="36" t="s">
        <v>1572</v>
      </c>
      <c r="B234" s="36" t="s">
        <v>1573</v>
      </c>
      <c r="C234" s="36" t="s">
        <v>1574</v>
      </c>
      <c r="D234" s="251" t="str">
        <f t="shared" si="1"/>
        <v>CHINCHA,CHAVIN</v>
      </c>
    </row>
    <row r="235">
      <c r="A235" s="36" t="s">
        <v>1572</v>
      </c>
      <c r="B235" s="36" t="s">
        <v>1585</v>
      </c>
      <c r="C235" s="36" t="s">
        <v>1586</v>
      </c>
      <c r="D235" s="251" t="str">
        <f t="shared" si="1"/>
        <v>PISCO,HUANCANO</v>
      </c>
    </row>
    <row r="236">
      <c r="A236" s="36" t="s">
        <v>1572</v>
      </c>
      <c r="B236" s="36" t="s">
        <v>1585</v>
      </c>
      <c r="C236" s="61" t="s">
        <v>1586</v>
      </c>
      <c r="D236" s="251" t="str">
        <f t="shared" si="1"/>
        <v>PISCO,HUANCANO</v>
      </c>
    </row>
    <row r="237">
      <c r="A237" s="36" t="s">
        <v>1572</v>
      </c>
      <c r="B237" s="36" t="s">
        <v>1573</v>
      </c>
      <c r="C237" s="61" t="s">
        <v>1597</v>
      </c>
      <c r="D237" s="251" t="str">
        <f t="shared" si="1"/>
        <v>CHINCHA,SAN JUAN DE YANAC</v>
      </c>
    </row>
    <row r="238">
      <c r="A238" s="36" t="s">
        <v>1572</v>
      </c>
      <c r="B238" s="36" t="s">
        <v>1572</v>
      </c>
      <c r="C238" s="36" t="s">
        <v>1605</v>
      </c>
      <c r="D238" s="251" t="str">
        <f t="shared" si="1"/>
        <v>ICA,YAUCA DEL ROSARIO</v>
      </c>
    </row>
    <row r="239">
      <c r="A239" s="36" t="s">
        <v>1572</v>
      </c>
      <c r="B239" s="36" t="s">
        <v>1572</v>
      </c>
      <c r="C239" s="36" t="s">
        <v>1605</v>
      </c>
      <c r="D239" s="251" t="str">
        <f t="shared" si="1"/>
        <v>ICA,YAUCA DEL ROSARIO</v>
      </c>
    </row>
    <row r="240">
      <c r="A240" s="36" t="s">
        <v>1615</v>
      </c>
      <c r="B240" s="36" t="s">
        <v>901</v>
      </c>
      <c r="C240" s="36" t="s">
        <v>1616</v>
      </c>
      <c r="D240" s="251" t="str">
        <f t="shared" si="1"/>
        <v>CONCEPCION,ANDAMARCA</v>
      </c>
    </row>
    <row r="241">
      <c r="A241" s="36" t="s">
        <v>1615</v>
      </c>
      <c r="B241" s="36" t="s">
        <v>1625</v>
      </c>
      <c r="C241" s="36" t="s">
        <v>1626</v>
      </c>
      <c r="D241" s="251" t="str">
        <f t="shared" si="1"/>
        <v>JAUJA,APATA</v>
      </c>
    </row>
    <row r="242">
      <c r="A242" s="36" t="s">
        <v>1615</v>
      </c>
      <c r="B242" s="36" t="s">
        <v>1633</v>
      </c>
      <c r="C242" s="36" t="s">
        <v>1634</v>
      </c>
      <c r="D242" s="251" t="str">
        <f t="shared" si="1"/>
        <v>HUANCAYO,CARHUACALLANGA</v>
      </c>
    </row>
    <row r="243">
      <c r="A243" s="36" t="s">
        <v>1615</v>
      </c>
      <c r="B243" s="36" t="s">
        <v>1633</v>
      </c>
      <c r="C243" s="36" t="s">
        <v>1641</v>
      </c>
      <c r="D243" s="251" t="str">
        <f t="shared" si="1"/>
        <v>HUANCAYO,CHONGOS ALTO</v>
      </c>
    </row>
    <row r="244">
      <c r="A244" s="36" t="s">
        <v>1615</v>
      </c>
      <c r="B244" s="36" t="s">
        <v>901</v>
      </c>
      <c r="C244" s="36" t="s">
        <v>396</v>
      </c>
      <c r="D244" s="251" t="str">
        <f t="shared" si="1"/>
        <v>CONCEPCION,COCHAS</v>
      </c>
    </row>
    <row r="245">
      <c r="A245" s="36" t="s">
        <v>1615</v>
      </c>
      <c r="B245" s="36" t="s">
        <v>1633</v>
      </c>
      <c r="C245" s="36" t="s">
        <v>1655</v>
      </c>
      <c r="D245" s="251" t="str">
        <f t="shared" si="1"/>
        <v>HUANCAYO,CULLHUAS</v>
      </c>
    </row>
    <row r="246">
      <c r="A246" s="36" t="s">
        <v>1615</v>
      </c>
      <c r="B246" s="36" t="s">
        <v>1661</v>
      </c>
      <c r="C246" s="36" t="s">
        <v>1662</v>
      </c>
      <c r="D246" s="251" t="str">
        <f t="shared" si="1"/>
        <v>TARMA,HUARICOLCA</v>
      </c>
    </row>
    <row r="247">
      <c r="A247" s="36" t="s">
        <v>1615</v>
      </c>
      <c r="B247" s="36" t="s">
        <v>1661</v>
      </c>
      <c r="C247" s="36" t="s">
        <v>1662</v>
      </c>
      <c r="D247" s="251" t="str">
        <f t="shared" si="1"/>
        <v>TARMA,HUARICOLCA</v>
      </c>
    </row>
    <row r="248">
      <c r="A248" s="36" t="s">
        <v>1615</v>
      </c>
      <c r="B248" s="36" t="s">
        <v>1671</v>
      </c>
      <c r="C248" s="36" t="s">
        <v>1672</v>
      </c>
      <c r="D248" s="251" t="str">
        <f t="shared" si="1"/>
        <v>YAULI,HUAY-HUAY</v>
      </c>
    </row>
    <row r="249">
      <c r="A249" s="36" t="s">
        <v>1615</v>
      </c>
      <c r="B249" s="36" t="s">
        <v>1615</v>
      </c>
      <c r="C249" s="36" t="s">
        <v>1615</v>
      </c>
      <c r="D249" s="251" t="str">
        <f t="shared" si="1"/>
        <v>JUNIN,JUNIN</v>
      </c>
    </row>
    <row r="250">
      <c r="A250" s="36" t="s">
        <v>1615</v>
      </c>
      <c r="B250" s="36" t="s">
        <v>1671</v>
      </c>
      <c r="C250" s="36" t="s">
        <v>1685</v>
      </c>
      <c r="D250" s="251" t="str">
        <f t="shared" si="1"/>
        <v>YAULI,LA OROYA</v>
      </c>
    </row>
    <row r="251">
      <c r="A251" s="36" t="s">
        <v>1615</v>
      </c>
      <c r="B251" s="36" t="s">
        <v>1671</v>
      </c>
      <c r="C251" s="36" t="s">
        <v>1685</v>
      </c>
      <c r="D251" s="251" t="str">
        <f t="shared" si="1"/>
        <v>YAULI,LA OROYA</v>
      </c>
    </row>
    <row r="252">
      <c r="A252" s="36" t="s">
        <v>1615</v>
      </c>
      <c r="B252" s="36" t="s">
        <v>1671</v>
      </c>
      <c r="C252" s="36" t="s">
        <v>1695</v>
      </c>
      <c r="D252" s="251" t="str">
        <f t="shared" si="1"/>
        <v>YAULI,MARCAPOMACOCHA</v>
      </c>
    </row>
    <row r="253">
      <c r="A253" s="36" t="s">
        <v>1615</v>
      </c>
      <c r="B253" s="36" t="s">
        <v>1671</v>
      </c>
      <c r="C253" s="36" t="s">
        <v>1695</v>
      </c>
      <c r="D253" s="251" t="str">
        <f t="shared" si="1"/>
        <v>YAULI,MARCAPOMACOCHA</v>
      </c>
    </row>
    <row r="254">
      <c r="A254" s="36" t="s">
        <v>1615</v>
      </c>
      <c r="B254" s="36" t="s">
        <v>1625</v>
      </c>
      <c r="C254" s="36" t="s">
        <v>1705</v>
      </c>
      <c r="D254" s="251" t="str">
        <f t="shared" si="1"/>
        <v>JAUJA,MASMA CHICCHE</v>
      </c>
    </row>
    <row r="255">
      <c r="A255" s="36" t="s">
        <v>1615</v>
      </c>
      <c r="B255" s="36" t="s">
        <v>1625</v>
      </c>
      <c r="C255" s="36" t="s">
        <v>1710</v>
      </c>
      <c r="D255" s="251" t="str">
        <f t="shared" si="1"/>
        <v>JAUJA,MOLINOS</v>
      </c>
    </row>
    <row r="256">
      <c r="A256" s="36" t="s">
        <v>1615</v>
      </c>
      <c r="B256" s="36" t="s">
        <v>1625</v>
      </c>
      <c r="C256" s="36" t="s">
        <v>1717</v>
      </c>
      <c r="D256" s="251" t="str">
        <f t="shared" si="1"/>
        <v>JAUJA,MONOBAMBA</v>
      </c>
    </row>
    <row r="257">
      <c r="A257" s="36" t="s">
        <v>1615</v>
      </c>
      <c r="B257" s="36" t="s">
        <v>1615</v>
      </c>
      <c r="C257" s="36" t="s">
        <v>1723</v>
      </c>
      <c r="D257" s="251" t="str">
        <f t="shared" si="1"/>
        <v>JUNIN,ONDORES</v>
      </c>
    </row>
    <row r="258">
      <c r="A258" s="36" t="s">
        <v>1615</v>
      </c>
      <c r="B258" s="36" t="s">
        <v>1671</v>
      </c>
      <c r="C258" s="36" t="s">
        <v>1728</v>
      </c>
      <c r="D258" s="251" t="str">
        <f t="shared" si="1"/>
        <v>YAULI,PACCHA</v>
      </c>
    </row>
    <row r="259">
      <c r="A259" s="36" t="s">
        <v>1615</v>
      </c>
      <c r="B259" s="36" t="s">
        <v>1734</v>
      </c>
      <c r="C259" s="36" t="s">
        <v>1735</v>
      </c>
      <c r="D259" s="251" t="str">
        <f t="shared" si="1"/>
        <v>SATIPO,PAMPA HERMOSA</v>
      </c>
    </row>
    <row r="260">
      <c r="A260" s="36" t="s">
        <v>1615</v>
      </c>
      <c r="B260" s="36" t="s">
        <v>1633</v>
      </c>
      <c r="C260" s="36" t="s">
        <v>1740</v>
      </c>
      <c r="D260" s="251" t="str">
        <f t="shared" si="1"/>
        <v>HUANCAYO,QUILCAS</v>
      </c>
    </row>
    <row r="261">
      <c r="A261" s="36" t="s">
        <v>1615</v>
      </c>
      <c r="B261" s="36" t="s">
        <v>1625</v>
      </c>
      <c r="C261" s="36" t="s">
        <v>1748</v>
      </c>
      <c r="D261" s="251" t="str">
        <f t="shared" si="1"/>
        <v>JAUJA,RICRAN</v>
      </c>
    </row>
    <row r="262">
      <c r="A262" s="36" t="s">
        <v>1615</v>
      </c>
      <c r="B262" s="36" t="s">
        <v>1661</v>
      </c>
      <c r="C262" s="36" t="s">
        <v>1756</v>
      </c>
      <c r="D262" s="251" t="str">
        <f t="shared" si="1"/>
        <v>TARMA,SAN PEDRO DE CAJAS</v>
      </c>
    </row>
    <row r="263">
      <c r="A263" s="36" t="s">
        <v>1615</v>
      </c>
      <c r="B263" s="36" t="s">
        <v>1671</v>
      </c>
      <c r="C263" s="36" t="s">
        <v>1762</v>
      </c>
      <c r="D263" s="251" t="str">
        <f t="shared" si="1"/>
        <v>YAULI,SANTA BARBARA DE CARHUACAYAN</v>
      </c>
    </row>
    <row r="264">
      <c r="A264" s="36" t="s">
        <v>1615</v>
      </c>
      <c r="B264" s="36" t="s">
        <v>1671</v>
      </c>
      <c r="C264" s="36" t="s">
        <v>1770</v>
      </c>
      <c r="D264" s="251" t="str">
        <f t="shared" si="1"/>
        <v>YAULI,SUITUCANCHA</v>
      </c>
    </row>
    <row r="265">
      <c r="A265" s="36" t="s">
        <v>1615</v>
      </c>
      <c r="B265" s="36" t="s">
        <v>1615</v>
      </c>
      <c r="C265" s="36" t="s">
        <v>1777</v>
      </c>
      <c r="D265" s="251" t="str">
        <f t="shared" si="1"/>
        <v>JUNIN,ULCUMAYO</v>
      </c>
    </row>
    <row r="266">
      <c r="A266" s="36" t="s">
        <v>1615</v>
      </c>
      <c r="B266" s="36" t="s">
        <v>1625</v>
      </c>
      <c r="C266" s="36" t="s">
        <v>1671</v>
      </c>
      <c r="D266" s="251" t="str">
        <f t="shared" si="1"/>
        <v>JAUJA,YAULI</v>
      </c>
    </row>
    <row r="267">
      <c r="A267" s="36" t="s">
        <v>1788</v>
      </c>
      <c r="B267" s="36" t="s">
        <v>1789</v>
      </c>
      <c r="C267" s="36" t="s">
        <v>1790</v>
      </c>
      <c r="D267" s="251" t="str">
        <f t="shared" si="1"/>
        <v>OTUZCO,LA CUESTA</v>
      </c>
    </row>
    <row r="268">
      <c r="A268" s="36" t="s">
        <v>1788</v>
      </c>
      <c r="B268" s="36" t="s">
        <v>1798</v>
      </c>
      <c r="C268" s="36" t="s">
        <v>1799</v>
      </c>
      <c r="D268" s="251" t="str">
        <f t="shared" si="1"/>
        <v>BOLIVAR,LONGOTEA</v>
      </c>
    </row>
    <row r="269">
      <c r="A269" s="36" t="s">
        <v>1788</v>
      </c>
      <c r="B269" s="36" t="s">
        <v>1798</v>
      </c>
      <c r="C269" s="36" t="s">
        <v>1799</v>
      </c>
      <c r="D269" s="251" t="str">
        <f t="shared" si="1"/>
        <v>BOLIVAR,LONGOTEA</v>
      </c>
    </row>
    <row r="270">
      <c r="A270" s="36" t="s">
        <v>1788</v>
      </c>
      <c r="B270" s="36" t="s">
        <v>1810</v>
      </c>
      <c r="C270" s="36" t="s">
        <v>1811</v>
      </c>
      <c r="D270" s="251" t="str">
        <f t="shared" si="1"/>
        <v>PATAZ,ONGON</v>
      </c>
    </row>
    <row r="271">
      <c r="A271" s="36" t="s">
        <v>1788</v>
      </c>
      <c r="B271" s="36" t="s">
        <v>1810</v>
      </c>
      <c r="C271" s="36" t="s">
        <v>1811</v>
      </c>
      <c r="D271" s="251" t="str">
        <f t="shared" si="1"/>
        <v>PATAZ,ONGON</v>
      </c>
    </row>
    <row r="272">
      <c r="A272" s="36" t="s">
        <v>1788</v>
      </c>
      <c r="B272" s="36" t="s">
        <v>1789</v>
      </c>
      <c r="C272" s="36" t="s">
        <v>1822</v>
      </c>
      <c r="D272" s="251" t="str">
        <f t="shared" si="1"/>
        <v>OTUZCO,PARANDAY</v>
      </c>
    </row>
    <row r="273">
      <c r="A273" s="36" t="s">
        <v>1788</v>
      </c>
      <c r="B273" s="36" t="s">
        <v>1789</v>
      </c>
      <c r="C273" s="36" t="s">
        <v>1822</v>
      </c>
      <c r="D273" s="251" t="str">
        <f t="shared" si="1"/>
        <v>OTUZCO,PARANDAY</v>
      </c>
    </row>
    <row r="274">
      <c r="A274" s="36" t="s">
        <v>1788</v>
      </c>
      <c r="B274" s="36" t="s">
        <v>1833</v>
      </c>
      <c r="C274" s="36" t="s">
        <v>1834</v>
      </c>
      <c r="D274" s="251" t="str">
        <f t="shared" si="1"/>
        <v>TRUJILLO,SIMBAL</v>
      </c>
    </row>
    <row r="275">
      <c r="A275" s="36" t="s">
        <v>1788</v>
      </c>
      <c r="B275" s="36" t="s">
        <v>1789</v>
      </c>
      <c r="C275" s="36" t="s">
        <v>1839</v>
      </c>
      <c r="D275" s="251" t="str">
        <f t="shared" si="1"/>
        <v>OTUZCO,SINSICAP</v>
      </c>
    </row>
    <row r="276">
      <c r="A276" s="36" t="s">
        <v>1788</v>
      </c>
      <c r="B276" s="36" t="s">
        <v>1798</v>
      </c>
      <c r="C276" s="36" t="s">
        <v>1845</v>
      </c>
      <c r="D276" s="251" t="str">
        <f t="shared" si="1"/>
        <v>BOLIVAR,UCHUMARCA</v>
      </c>
    </row>
    <row r="277">
      <c r="A277" s="36" t="s">
        <v>1853</v>
      </c>
      <c r="B277" s="36" t="s">
        <v>1854</v>
      </c>
      <c r="C277" s="36" t="s">
        <v>1855</v>
      </c>
      <c r="D277" s="251" t="str">
        <f t="shared" si="1"/>
        <v>FERREÑAFE,CAÑARIS</v>
      </c>
    </row>
    <row r="278">
      <c r="A278" s="36" t="s">
        <v>1853</v>
      </c>
      <c r="B278" s="36" t="s">
        <v>1854</v>
      </c>
      <c r="C278" s="36" t="s">
        <v>1860</v>
      </c>
      <c r="D278" s="251" t="str">
        <f t="shared" si="1"/>
        <v>FERREÑAFE,INCAHUASI</v>
      </c>
    </row>
    <row r="279">
      <c r="A279" s="36" t="s">
        <v>1865</v>
      </c>
      <c r="B279" s="36" t="s">
        <v>1866</v>
      </c>
      <c r="C279" s="36" t="s">
        <v>1867</v>
      </c>
      <c r="D279" s="251" t="str">
        <f t="shared" si="1"/>
        <v>HUAURA,AMBAR</v>
      </c>
    </row>
    <row r="280">
      <c r="A280" s="36" t="s">
        <v>1865</v>
      </c>
      <c r="B280" s="36" t="s">
        <v>1873</v>
      </c>
      <c r="C280" s="36" t="s">
        <v>1874</v>
      </c>
      <c r="D280" s="251" t="str">
        <f t="shared" si="1"/>
        <v>YAUYOS,AZANGARO</v>
      </c>
    </row>
    <row r="281">
      <c r="A281" s="36" t="s">
        <v>1865</v>
      </c>
      <c r="B281" s="36" t="s">
        <v>1873</v>
      </c>
      <c r="C281" s="36" t="s">
        <v>1874</v>
      </c>
      <c r="D281" s="251" t="str">
        <f t="shared" si="1"/>
        <v>YAUYOS,AZANGARO</v>
      </c>
    </row>
    <row r="282">
      <c r="A282" s="36" t="s">
        <v>1865</v>
      </c>
      <c r="B282" s="36" t="s">
        <v>1873</v>
      </c>
      <c r="C282" s="36" t="s">
        <v>1884</v>
      </c>
      <c r="D282" s="251" t="str">
        <f t="shared" si="1"/>
        <v>YAUYOS,CACRA</v>
      </c>
    </row>
    <row r="283">
      <c r="A283" s="36" t="s">
        <v>1865</v>
      </c>
      <c r="B283" s="36" t="s">
        <v>1888</v>
      </c>
      <c r="C283" s="36" t="s">
        <v>1888</v>
      </c>
      <c r="D283" s="251" t="str">
        <f t="shared" si="1"/>
        <v>CAJATAMBO,CAJATAMBO</v>
      </c>
    </row>
    <row r="284">
      <c r="A284" s="36" t="s">
        <v>1865</v>
      </c>
      <c r="B284" s="36" t="s">
        <v>1893</v>
      </c>
      <c r="C284" s="36" t="s">
        <v>1894</v>
      </c>
      <c r="D284" s="251" t="str">
        <f t="shared" si="1"/>
        <v>CAÑETE,CALANGO</v>
      </c>
    </row>
    <row r="285">
      <c r="A285" s="36" t="s">
        <v>1865</v>
      </c>
      <c r="B285" s="36" t="s">
        <v>1893</v>
      </c>
      <c r="C285" s="36" t="s">
        <v>1894</v>
      </c>
      <c r="D285" s="251" t="str">
        <f t="shared" si="1"/>
        <v>CAÑETE,CALANGO</v>
      </c>
    </row>
    <row r="286">
      <c r="A286" s="36" t="s">
        <v>1865</v>
      </c>
      <c r="B286" s="36" t="s">
        <v>1902</v>
      </c>
      <c r="C286" s="36" t="s">
        <v>1903</v>
      </c>
      <c r="D286" s="251" t="str">
        <f t="shared" si="1"/>
        <v>HUAROCHIRI,CARAMPOMA</v>
      </c>
    </row>
    <row r="287">
      <c r="A287" s="36" t="s">
        <v>1865</v>
      </c>
      <c r="B287" s="36" t="s">
        <v>1873</v>
      </c>
      <c r="C287" s="36" t="s">
        <v>1906</v>
      </c>
      <c r="D287" s="251" t="str">
        <f t="shared" si="1"/>
        <v>YAUYOS,CARANIA</v>
      </c>
    </row>
    <row r="288">
      <c r="A288" s="36" t="s">
        <v>1865</v>
      </c>
      <c r="B288" s="36" t="s">
        <v>1873</v>
      </c>
      <c r="C288" s="36" t="s">
        <v>1906</v>
      </c>
      <c r="D288" s="251" t="str">
        <f t="shared" si="1"/>
        <v>YAUYOS,CARANIA</v>
      </c>
    </row>
    <row r="289">
      <c r="A289" s="36" t="s">
        <v>1865</v>
      </c>
      <c r="B289" s="36" t="s">
        <v>1914</v>
      </c>
      <c r="C289" s="36" t="s">
        <v>1915</v>
      </c>
      <c r="D289" s="251" t="str">
        <f t="shared" si="1"/>
        <v>OYON,CAUJUL</v>
      </c>
    </row>
    <row r="290">
      <c r="A290" s="36" t="s">
        <v>1865</v>
      </c>
      <c r="B290" s="36" t="s">
        <v>1902</v>
      </c>
      <c r="C290" s="36" t="s">
        <v>1920</v>
      </c>
      <c r="D290" s="251" t="str">
        <f t="shared" si="1"/>
        <v>HUAROCHIRI,CHICLA</v>
      </c>
    </row>
    <row r="291">
      <c r="A291" s="36" t="s">
        <v>1865</v>
      </c>
      <c r="B291" s="36" t="s">
        <v>1902</v>
      </c>
      <c r="C291" s="36" t="s">
        <v>1920</v>
      </c>
      <c r="D291" s="251" t="str">
        <f t="shared" si="1"/>
        <v>HUAROCHIRI,CHICLA</v>
      </c>
    </row>
    <row r="292">
      <c r="A292" s="36" t="s">
        <v>1865</v>
      </c>
      <c r="B292" s="36" t="s">
        <v>1873</v>
      </c>
      <c r="C292" s="36" t="s">
        <v>1928</v>
      </c>
      <c r="D292" s="251" t="str">
        <f t="shared" si="1"/>
        <v>YAUYOS,CHOCOS</v>
      </c>
    </row>
    <row r="293">
      <c r="A293" s="36" t="s">
        <v>1865</v>
      </c>
      <c r="B293" s="36" t="s">
        <v>1914</v>
      </c>
      <c r="C293" s="36" t="s">
        <v>1933</v>
      </c>
      <c r="D293" s="251" t="str">
        <f t="shared" si="1"/>
        <v>OYON,COCHAMARCA</v>
      </c>
    </row>
    <row r="294">
      <c r="A294" s="36" t="s">
        <v>1865</v>
      </c>
      <c r="B294" s="36" t="s">
        <v>1888</v>
      </c>
      <c r="C294" s="36" t="s">
        <v>1938</v>
      </c>
      <c r="D294" s="251" t="str">
        <f t="shared" si="1"/>
        <v>CAJATAMBO,COPA</v>
      </c>
    </row>
    <row r="295">
      <c r="A295" s="36" t="s">
        <v>1865</v>
      </c>
      <c r="B295" s="36" t="s">
        <v>1888</v>
      </c>
      <c r="C295" s="36" t="s">
        <v>1944</v>
      </c>
      <c r="D295" s="251" t="str">
        <f t="shared" si="1"/>
        <v>CAJATAMBO,GORGOR</v>
      </c>
    </row>
    <row r="296">
      <c r="A296" s="36" t="s">
        <v>1865</v>
      </c>
      <c r="B296" s="36" t="s">
        <v>1873</v>
      </c>
      <c r="C296" s="36" t="s">
        <v>1949</v>
      </c>
      <c r="D296" s="251" t="str">
        <f t="shared" si="1"/>
        <v>YAUYOS,HONGOS</v>
      </c>
    </row>
    <row r="297">
      <c r="A297" s="36" t="s">
        <v>1865</v>
      </c>
      <c r="B297" s="36" t="s">
        <v>1873</v>
      </c>
      <c r="C297" s="36" t="s">
        <v>1949</v>
      </c>
      <c r="D297" s="251" t="str">
        <f t="shared" si="1"/>
        <v>YAUYOS,HONGOS</v>
      </c>
    </row>
    <row r="298">
      <c r="A298" s="36" t="s">
        <v>1865</v>
      </c>
      <c r="B298" s="36" t="s">
        <v>1873</v>
      </c>
      <c r="C298" s="36" t="s">
        <v>1957</v>
      </c>
      <c r="D298" s="251" t="str">
        <f t="shared" si="1"/>
        <v>YAUYOS,HUANCAYA</v>
      </c>
    </row>
    <row r="299">
      <c r="A299" s="36" t="s">
        <v>1865</v>
      </c>
      <c r="B299" s="36" t="s">
        <v>1873</v>
      </c>
      <c r="C299" s="36" t="s">
        <v>1962</v>
      </c>
      <c r="D299" s="251" t="str">
        <f t="shared" si="1"/>
        <v>YAUYOS,HUANTAN</v>
      </c>
    </row>
    <row r="300">
      <c r="A300" s="36" t="s">
        <v>1865</v>
      </c>
      <c r="B300" s="36" t="s">
        <v>1902</v>
      </c>
      <c r="C300" s="36" t="s">
        <v>1968</v>
      </c>
      <c r="D300" s="251" t="str">
        <f t="shared" si="1"/>
        <v>HUAROCHIRI,HUANZA</v>
      </c>
    </row>
    <row r="301">
      <c r="A301" s="36" t="s">
        <v>1865</v>
      </c>
      <c r="B301" s="36" t="s">
        <v>1975</v>
      </c>
      <c r="C301" s="36" t="s">
        <v>1976</v>
      </c>
      <c r="D301" s="251" t="str">
        <f t="shared" si="1"/>
        <v>CANTA,HUAROS</v>
      </c>
    </row>
    <row r="302">
      <c r="A302" s="36" t="s">
        <v>1865</v>
      </c>
      <c r="B302" s="36" t="s">
        <v>1902</v>
      </c>
      <c r="C302" s="36" t="s">
        <v>1982</v>
      </c>
      <c r="D302" s="251" t="str">
        <f t="shared" si="1"/>
        <v>HUAROCHIRI,LANGA</v>
      </c>
    </row>
    <row r="303">
      <c r="A303" s="36" t="s">
        <v>1865</v>
      </c>
      <c r="B303" s="36" t="s">
        <v>1902</v>
      </c>
      <c r="C303" s="36" t="s">
        <v>1988</v>
      </c>
      <c r="D303" s="251" t="str">
        <f t="shared" si="1"/>
        <v>HUAROCHIRI,LARAOS</v>
      </c>
    </row>
    <row r="304">
      <c r="A304" s="36" t="s">
        <v>1865</v>
      </c>
      <c r="B304" s="36" t="s">
        <v>1902</v>
      </c>
      <c r="C304" s="36" t="s">
        <v>1988</v>
      </c>
      <c r="D304" s="251" t="str">
        <f t="shared" si="1"/>
        <v>HUAROCHIRI,LARAOS</v>
      </c>
    </row>
    <row r="305">
      <c r="A305" s="36" t="s">
        <v>1865</v>
      </c>
      <c r="B305" s="36" t="s">
        <v>1873</v>
      </c>
      <c r="C305" s="36" t="s">
        <v>1988</v>
      </c>
      <c r="D305" s="251" t="str">
        <f t="shared" si="1"/>
        <v>YAUYOS,LARAOS</v>
      </c>
    </row>
    <row r="306">
      <c r="A306" s="36" t="s">
        <v>1865</v>
      </c>
      <c r="B306" s="36" t="s">
        <v>1873</v>
      </c>
      <c r="C306" s="36" t="s">
        <v>1988</v>
      </c>
      <c r="D306" s="251" t="str">
        <f t="shared" si="1"/>
        <v>YAUYOS,LARAOS</v>
      </c>
    </row>
    <row r="307">
      <c r="A307" s="36" t="s">
        <v>1865</v>
      </c>
      <c r="B307" s="36" t="s">
        <v>1873</v>
      </c>
      <c r="C307" s="36" t="s">
        <v>2005</v>
      </c>
      <c r="D307" s="251" t="str">
        <f t="shared" si="1"/>
        <v>YAUYOS,LINCHA</v>
      </c>
    </row>
    <row r="308">
      <c r="A308" s="36" t="s">
        <v>1865</v>
      </c>
      <c r="B308" s="36" t="s">
        <v>1873</v>
      </c>
      <c r="C308" s="36" t="s">
        <v>2005</v>
      </c>
      <c r="D308" s="251" t="str">
        <f t="shared" si="1"/>
        <v>YAUYOS,LINCHA</v>
      </c>
    </row>
    <row r="309">
      <c r="A309" s="36" t="s">
        <v>1865</v>
      </c>
      <c r="B309" s="36" t="s">
        <v>1873</v>
      </c>
      <c r="C309" s="36" t="s">
        <v>2014</v>
      </c>
      <c r="D309" s="251" t="str">
        <f t="shared" si="1"/>
        <v>YAUYOS,MADEAN</v>
      </c>
    </row>
    <row r="310">
      <c r="A310" s="36" t="s">
        <v>1865</v>
      </c>
      <c r="B310" s="36" t="s">
        <v>1902</v>
      </c>
      <c r="C310" s="36" t="s">
        <v>2020</v>
      </c>
      <c r="D310" s="251" t="str">
        <f t="shared" si="1"/>
        <v>HUAROCHIRI,MARIATANA</v>
      </c>
    </row>
    <row r="311">
      <c r="A311" s="36" t="s">
        <v>1865</v>
      </c>
      <c r="B311" s="36" t="s">
        <v>1873</v>
      </c>
      <c r="C311" s="36" t="s">
        <v>2026</v>
      </c>
      <c r="D311" s="251" t="str">
        <f t="shared" si="1"/>
        <v>YAUYOS,MIRAFLORES</v>
      </c>
    </row>
    <row r="312">
      <c r="A312" s="36" t="s">
        <v>1865</v>
      </c>
      <c r="B312" s="36" t="s">
        <v>2032</v>
      </c>
      <c r="C312" s="36" t="s">
        <v>2033</v>
      </c>
      <c r="D312" s="251" t="str">
        <f t="shared" si="1"/>
        <v>HUARAL,PACARAOS</v>
      </c>
    </row>
    <row r="313">
      <c r="A313" s="36" t="s">
        <v>1865</v>
      </c>
      <c r="B313" s="36" t="s">
        <v>1873</v>
      </c>
      <c r="C313" s="36" t="s">
        <v>2039</v>
      </c>
      <c r="D313" s="251" t="str">
        <f t="shared" si="1"/>
        <v>YAUYOS,QUINOCAY</v>
      </c>
    </row>
    <row r="314">
      <c r="A314" s="36" t="s">
        <v>1865</v>
      </c>
      <c r="B314" s="36" t="s">
        <v>1873</v>
      </c>
      <c r="C314" s="36" t="s">
        <v>2039</v>
      </c>
      <c r="D314" s="251" t="str">
        <f t="shared" si="1"/>
        <v>YAUYOS,QUINOCAY</v>
      </c>
    </row>
    <row r="315">
      <c r="A315" s="36" t="s">
        <v>1865</v>
      </c>
      <c r="B315" s="36" t="s">
        <v>1902</v>
      </c>
      <c r="C315" s="36" t="s">
        <v>2048</v>
      </c>
      <c r="D315" s="251" t="str">
        <f t="shared" si="1"/>
        <v>HUAROCHIRI,SAN ANDRES DE TUPICOCHA</v>
      </c>
    </row>
    <row r="316">
      <c r="A316" s="36" t="s">
        <v>1865</v>
      </c>
      <c r="B316" s="36" t="s">
        <v>1902</v>
      </c>
      <c r="C316" s="36" t="s">
        <v>2048</v>
      </c>
      <c r="D316" s="251" t="str">
        <f t="shared" si="1"/>
        <v>HUAROCHIRI,SAN ANDRES DE TUPICOCHA</v>
      </c>
    </row>
    <row r="317">
      <c r="A317" s="36" t="s">
        <v>1865</v>
      </c>
      <c r="B317" s="36" t="s">
        <v>1902</v>
      </c>
      <c r="C317" s="36" t="s">
        <v>2057</v>
      </c>
      <c r="D317" s="251" t="str">
        <f t="shared" si="1"/>
        <v>HUAROCHIRI,SAN DAMIAN</v>
      </c>
    </row>
    <row r="318">
      <c r="A318" s="36" t="s">
        <v>1865</v>
      </c>
      <c r="B318" s="36" t="s">
        <v>1902</v>
      </c>
      <c r="C318" s="36" t="s">
        <v>2057</v>
      </c>
      <c r="D318" s="251" t="str">
        <f t="shared" si="1"/>
        <v>HUAROCHIRI,SAN DAMIAN</v>
      </c>
    </row>
    <row r="319">
      <c r="A319" s="36" t="s">
        <v>1865</v>
      </c>
      <c r="B319" s="36" t="s">
        <v>1902</v>
      </c>
      <c r="C319" s="36" t="s">
        <v>2066</v>
      </c>
      <c r="D319" s="251" t="str">
        <f t="shared" si="1"/>
        <v>HUAROCHIRI,SAN JUAN DE TANTARANCHE</v>
      </c>
    </row>
    <row r="320">
      <c r="A320" s="36" t="s">
        <v>1865</v>
      </c>
      <c r="B320" s="36" t="s">
        <v>1902</v>
      </c>
      <c r="C320" s="36" t="s">
        <v>2072</v>
      </c>
      <c r="D320" s="251" t="str">
        <f t="shared" si="1"/>
        <v>HUAROCHIRI,SAN MATEO</v>
      </c>
    </row>
    <row r="321">
      <c r="A321" s="36" t="s">
        <v>1865</v>
      </c>
      <c r="B321" s="36" t="s">
        <v>1873</v>
      </c>
      <c r="C321" s="36" t="s">
        <v>2078</v>
      </c>
      <c r="D321" s="251" t="str">
        <f t="shared" si="1"/>
        <v>YAUYOS,SAN PEDRO DE PILAS</v>
      </c>
    </row>
    <row r="322">
      <c r="A322" s="36" t="s">
        <v>1865</v>
      </c>
      <c r="B322" s="36" t="s">
        <v>1873</v>
      </c>
      <c r="C322" s="36" t="s">
        <v>2078</v>
      </c>
      <c r="D322" s="251" t="str">
        <f t="shared" si="1"/>
        <v>YAUYOS,SAN PEDRO DE PILAS</v>
      </c>
    </row>
    <row r="323">
      <c r="A323" s="36" t="s">
        <v>1865</v>
      </c>
      <c r="B323" s="36" t="s">
        <v>1902</v>
      </c>
      <c r="C323" s="36" t="s">
        <v>2087</v>
      </c>
      <c r="D323" s="251" t="str">
        <f t="shared" si="1"/>
        <v>HUAROCHIRI,SANTIAGO DE ANCHUCAYA</v>
      </c>
    </row>
    <row r="324">
      <c r="A324" s="36" t="s">
        <v>1865</v>
      </c>
      <c r="B324" s="36" t="s">
        <v>1902</v>
      </c>
      <c r="C324" s="36" t="s">
        <v>2093</v>
      </c>
      <c r="D324" s="251" t="str">
        <f t="shared" si="1"/>
        <v>HUAROCHIRI,SANTO DOMINGO DE LOS OLLEROS</v>
      </c>
    </row>
    <row r="325">
      <c r="A325" s="36" t="s">
        <v>1865</v>
      </c>
      <c r="B325" s="36" t="s">
        <v>1873</v>
      </c>
      <c r="C325" s="36" t="s">
        <v>2099</v>
      </c>
      <c r="D325" s="251" t="str">
        <f t="shared" si="1"/>
        <v>YAUYOS,TANTA</v>
      </c>
    </row>
    <row r="326">
      <c r="A326" s="36" t="s">
        <v>1865</v>
      </c>
      <c r="B326" s="36" t="s">
        <v>1873</v>
      </c>
      <c r="C326" s="36" t="s">
        <v>2107</v>
      </c>
      <c r="D326" s="251" t="str">
        <f t="shared" si="1"/>
        <v>YAUYOS,TAURIPAMPA</v>
      </c>
    </row>
    <row r="327">
      <c r="A327" s="36" t="s">
        <v>1865</v>
      </c>
      <c r="B327" s="36" t="s">
        <v>1873</v>
      </c>
      <c r="C327" s="36" t="s">
        <v>2113</v>
      </c>
      <c r="D327" s="251" t="str">
        <f t="shared" si="1"/>
        <v>YAUYOS,TOMAS</v>
      </c>
    </row>
    <row r="328">
      <c r="A328" s="36" t="s">
        <v>1865</v>
      </c>
      <c r="B328" s="36" t="s">
        <v>1873</v>
      </c>
      <c r="C328" s="36" t="s">
        <v>2117</v>
      </c>
      <c r="D328" s="251" t="str">
        <f t="shared" si="1"/>
        <v>YAUYOS,VITIS</v>
      </c>
    </row>
    <row r="329">
      <c r="A329" s="36" t="s">
        <v>1865</v>
      </c>
      <c r="B329" s="36" t="s">
        <v>1873</v>
      </c>
      <c r="C329" s="36" t="s">
        <v>2117</v>
      </c>
      <c r="D329" s="251" t="str">
        <f t="shared" si="1"/>
        <v>YAUYOS,VITIS</v>
      </c>
    </row>
    <row r="330">
      <c r="A330" s="36" t="s">
        <v>2126</v>
      </c>
      <c r="B330" s="36" t="s">
        <v>2127</v>
      </c>
      <c r="C330" s="36" t="s">
        <v>2128</v>
      </c>
      <c r="D330" s="251" t="str">
        <f t="shared" si="1"/>
        <v>MAYNAS,ALTO NANAY</v>
      </c>
    </row>
    <row r="331">
      <c r="A331" s="36" t="s">
        <v>2126</v>
      </c>
      <c r="B331" s="36" t="s">
        <v>2136</v>
      </c>
      <c r="C331" s="36" t="s">
        <v>2137</v>
      </c>
      <c r="D331" s="251" t="str">
        <f t="shared" si="1"/>
        <v>REQUENA,ALTO TAPICHE</v>
      </c>
    </row>
    <row r="332">
      <c r="A332" s="36" t="s">
        <v>2126</v>
      </c>
      <c r="B332" s="36" t="s">
        <v>2136</v>
      </c>
      <c r="C332" s="36" t="s">
        <v>2137</v>
      </c>
      <c r="D332" s="251" t="str">
        <f t="shared" si="1"/>
        <v>REQUENA,ALTO TAPICHE</v>
      </c>
    </row>
    <row r="333">
      <c r="A333" s="36" t="s">
        <v>2126</v>
      </c>
      <c r="B333" s="36" t="s">
        <v>2148</v>
      </c>
      <c r="C333" s="36" t="s">
        <v>2149</v>
      </c>
      <c r="D333" s="251" t="str">
        <f t="shared" si="1"/>
        <v>DATEM DEL MARAÑON,ANDOAS</v>
      </c>
    </row>
    <row r="334">
      <c r="A334" s="36" t="s">
        <v>2126</v>
      </c>
      <c r="B334" s="36" t="s">
        <v>2160</v>
      </c>
      <c r="C334" s="36" t="s">
        <v>2161</v>
      </c>
      <c r="D334" s="251" t="str">
        <f t="shared" si="1"/>
        <v>ALTO AMAZONAS,BALSAPUERTO</v>
      </c>
    </row>
    <row r="335">
      <c r="A335" s="36" t="s">
        <v>2126</v>
      </c>
      <c r="B335" s="36" t="s">
        <v>2148</v>
      </c>
      <c r="C335" s="36" t="s">
        <v>2167</v>
      </c>
      <c r="D335" s="251" t="str">
        <f t="shared" si="1"/>
        <v>DATEM DEL MARAÑON,BARRANCA</v>
      </c>
    </row>
    <row r="336">
      <c r="A336" s="36" t="s">
        <v>2126</v>
      </c>
      <c r="B336" s="36" t="s">
        <v>2148</v>
      </c>
      <c r="C336" s="36" t="s">
        <v>2173</v>
      </c>
      <c r="D336" s="251" t="str">
        <f t="shared" si="1"/>
        <v>DATEM DEL MARAÑON,CAHUAPANAS</v>
      </c>
    </row>
    <row r="337">
      <c r="A337" s="36" t="s">
        <v>2126</v>
      </c>
      <c r="B337" s="36" t="s">
        <v>2136</v>
      </c>
      <c r="C337" s="36" t="s">
        <v>2179</v>
      </c>
      <c r="D337" s="251" t="str">
        <f t="shared" si="1"/>
        <v>REQUENA,CAPELO</v>
      </c>
    </row>
    <row r="338">
      <c r="A338" s="36" t="s">
        <v>2126</v>
      </c>
      <c r="B338" s="36" t="s">
        <v>2136</v>
      </c>
      <c r="C338" s="36" t="s">
        <v>2179</v>
      </c>
      <c r="D338" s="251" t="str">
        <f t="shared" si="1"/>
        <v>REQUENA,CAPELO</v>
      </c>
    </row>
    <row r="339">
      <c r="A339" s="36" t="s">
        <v>2126</v>
      </c>
      <c r="B339" s="36" t="s">
        <v>2188</v>
      </c>
      <c r="C339" s="36" t="s">
        <v>2189</v>
      </c>
      <c r="D339" s="251" t="str">
        <f t="shared" si="1"/>
        <v>UCAYALI,CONTAMANA</v>
      </c>
    </row>
    <row r="340">
      <c r="A340" s="36" t="s">
        <v>2126</v>
      </c>
      <c r="B340" s="36" t="s">
        <v>2136</v>
      </c>
      <c r="C340" s="36" t="s">
        <v>2196</v>
      </c>
      <c r="D340" s="251" t="str">
        <f t="shared" si="1"/>
        <v>REQUENA,EMILIO SAN MARTIN</v>
      </c>
    </row>
    <row r="341">
      <c r="A341" s="36" t="s">
        <v>2126</v>
      </c>
      <c r="B341" s="36" t="s">
        <v>2136</v>
      </c>
      <c r="C341" s="36" t="s">
        <v>2196</v>
      </c>
      <c r="D341" s="251" t="str">
        <f t="shared" si="1"/>
        <v>REQUENA,EMILIO SAN MARTIN</v>
      </c>
    </row>
    <row r="342">
      <c r="A342" s="36" t="s">
        <v>2126</v>
      </c>
      <c r="B342" s="36" t="s">
        <v>2127</v>
      </c>
      <c r="C342" s="36" t="s">
        <v>2206</v>
      </c>
      <c r="D342" s="251" t="str">
        <f t="shared" si="1"/>
        <v>MAYNAS,FERNANDO LORES</v>
      </c>
    </row>
    <row r="343">
      <c r="A343" s="36" t="s">
        <v>2126</v>
      </c>
      <c r="B343" s="36" t="s">
        <v>2188</v>
      </c>
      <c r="C343" s="36" t="s">
        <v>2212</v>
      </c>
      <c r="D343" s="251" t="str">
        <f t="shared" si="1"/>
        <v>UCAYALI,INAHUAYA</v>
      </c>
    </row>
    <row r="344">
      <c r="A344" s="36" t="s">
        <v>2126</v>
      </c>
      <c r="B344" s="36" t="s">
        <v>2160</v>
      </c>
      <c r="C344" s="36" t="s">
        <v>2221</v>
      </c>
      <c r="D344" s="251" t="str">
        <f t="shared" si="1"/>
        <v>ALTO AMAZONAS,JEBEROS</v>
      </c>
    </row>
    <row r="345">
      <c r="A345" s="36" t="s">
        <v>2126</v>
      </c>
      <c r="B345" s="36" t="s">
        <v>2160</v>
      </c>
      <c r="C345" s="36" t="s">
        <v>2227</v>
      </c>
      <c r="D345" s="251" t="str">
        <f t="shared" si="1"/>
        <v>ALTO AMAZONAS,LAGUNAS</v>
      </c>
    </row>
    <row r="346">
      <c r="A346" s="36" t="s">
        <v>2126</v>
      </c>
      <c r="B346" s="36" t="s">
        <v>2148</v>
      </c>
      <c r="C346" s="36" t="s">
        <v>2233</v>
      </c>
      <c r="D346" s="251" t="str">
        <f t="shared" si="1"/>
        <v>DATEM DEL MARAÑON,MANSERICHE</v>
      </c>
    </row>
    <row r="347">
      <c r="A347" s="36" t="s">
        <v>2126</v>
      </c>
      <c r="B347" s="36" t="s">
        <v>2136</v>
      </c>
      <c r="C347" s="36" t="s">
        <v>2240</v>
      </c>
      <c r="D347" s="251" t="str">
        <f t="shared" si="1"/>
        <v>REQUENA,MAQUIA</v>
      </c>
    </row>
    <row r="348">
      <c r="A348" s="36" t="s">
        <v>2126</v>
      </c>
      <c r="B348" s="36" t="s">
        <v>2136</v>
      </c>
      <c r="C348" s="36" t="s">
        <v>2240</v>
      </c>
      <c r="D348" s="251" t="str">
        <f t="shared" si="1"/>
        <v>REQUENA,MAQUIA</v>
      </c>
    </row>
    <row r="349">
      <c r="A349" s="36" t="s">
        <v>2126</v>
      </c>
      <c r="B349" s="36" t="s">
        <v>2127</v>
      </c>
      <c r="C349" s="36" t="s">
        <v>2251</v>
      </c>
      <c r="D349" s="251" t="str">
        <f t="shared" si="1"/>
        <v>MAYNAS,MAZAN</v>
      </c>
    </row>
    <row r="350">
      <c r="A350" s="36" t="s">
        <v>2126</v>
      </c>
      <c r="B350" s="36" t="s">
        <v>2148</v>
      </c>
      <c r="C350" s="36" t="s">
        <v>2257</v>
      </c>
      <c r="D350" s="251" t="str">
        <f t="shared" si="1"/>
        <v>DATEM DEL MARAÑON,MORONA</v>
      </c>
    </row>
    <row r="351">
      <c r="A351" s="36" t="s">
        <v>2126</v>
      </c>
      <c r="B351" s="36" t="s">
        <v>2127</v>
      </c>
      <c r="C351" s="36" t="s">
        <v>2264</v>
      </c>
      <c r="D351" s="251" t="str">
        <f t="shared" si="1"/>
        <v>MAYNAS,NAPO</v>
      </c>
    </row>
    <row r="352">
      <c r="A352" s="36" t="s">
        <v>2126</v>
      </c>
      <c r="B352" s="36" t="s">
        <v>2127</v>
      </c>
      <c r="C352" s="36" t="s">
        <v>2264</v>
      </c>
      <c r="D352" s="251" t="str">
        <f t="shared" si="1"/>
        <v>MAYNAS,NAPO</v>
      </c>
    </row>
    <row r="353">
      <c r="A353" s="36" t="s">
        <v>2126</v>
      </c>
      <c r="B353" s="36" t="s">
        <v>2188</v>
      </c>
      <c r="C353" s="36" t="s">
        <v>2273</v>
      </c>
      <c r="D353" s="251" t="str">
        <f t="shared" si="1"/>
        <v>UCAYALI,PADRE MARQUEZ</v>
      </c>
    </row>
    <row r="354">
      <c r="A354" s="36" t="s">
        <v>2126</v>
      </c>
      <c r="B354" s="36" t="s">
        <v>2188</v>
      </c>
      <c r="C354" s="36" t="s">
        <v>1735</v>
      </c>
      <c r="D354" s="251" t="str">
        <f t="shared" si="1"/>
        <v>UCAYALI,PAMPA HERMOSA</v>
      </c>
    </row>
    <row r="355">
      <c r="A355" s="36" t="s">
        <v>2126</v>
      </c>
      <c r="B355" s="36" t="s">
        <v>2188</v>
      </c>
      <c r="C355" s="36" t="s">
        <v>1735</v>
      </c>
      <c r="D355" s="251" t="str">
        <f t="shared" si="1"/>
        <v>UCAYALI,PAMPA HERMOSA</v>
      </c>
    </row>
    <row r="356">
      <c r="A356" s="36" t="s">
        <v>2126</v>
      </c>
      <c r="B356" s="36" t="s">
        <v>2126</v>
      </c>
      <c r="C356" s="36" t="s">
        <v>2291</v>
      </c>
      <c r="D356" s="251" t="str">
        <f t="shared" si="1"/>
        <v>LORETO,PARINARI</v>
      </c>
    </row>
    <row r="357">
      <c r="A357" s="36" t="s">
        <v>2126</v>
      </c>
      <c r="B357" s="36" t="s">
        <v>2148</v>
      </c>
      <c r="C357" s="36" t="s">
        <v>2297</v>
      </c>
      <c r="D357" s="251" t="str">
        <f t="shared" si="1"/>
        <v>DATEM DEL MARAÑON,PASTAZA</v>
      </c>
    </row>
    <row r="358">
      <c r="A358" s="36" t="s">
        <v>2126</v>
      </c>
      <c r="B358" s="36" t="s">
        <v>2303</v>
      </c>
      <c r="C358" s="36" t="s">
        <v>2304</v>
      </c>
      <c r="D358" s="251" t="str">
        <f t="shared" si="1"/>
        <v>MARISCAL RAMON CASTILLA,PEBAS</v>
      </c>
    </row>
    <row r="359">
      <c r="A359" s="36" t="s">
        <v>2126</v>
      </c>
      <c r="B359" s="36" t="s">
        <v>2310</v>
      </c>
      <c r="C359" s="36" t="s">
        <v>2310</v>
      </c>
      <c r="D359" s="251" t="str">
        <f t="shared" si="1"/>
        <v>PUTUMAYO,PUTUMAYO</v>
      </c>
    </row>
    <row r="360">
      <c r="A360" s="36" t="s">
        <v>2126</v>
      </c>
      <c r="B360" s="36" t="s">
        <v>2310</v>
      </c>
      <c r="C360" s="36" t="s">
        <v>2310</v>
      </c>
      <c r="D360" s="251" t="str">
        <f t="shared" si="1"/>
        <v>PUTUMAYO,PUTUMAYO</v>
      </c>
    </row>
    <row r="361">
      <c r="A361" s="36" t="s">
        <v>2126</v>
      </c>
      <c r="B361" s="36" t="s">
        <v>2303</v>
      </c>
      <c r="C361" s="36" t="s">
        <v>2321</v>
      </c>
      <c r="D361" s="251" t="str">
        <f t="shared" si="1"/>
        <v>MARISCAL RAMON CASTILLA,RAMON CASTILLA</v>
      </c>
    </row>
    <row r="362">
      <c r="A362" s="36" t="s">
        <v>2126</v>
      </c>
      <c r="B362" s="36" t="s">
        <v>2136</v>
      </c>
      <c r="C362" s="36" t="s">
        <v>2136</v>
      </c>
      <c r="D362" s="251" t="str">
        <f t="shared" si="1"/>
        <v>REQUENA,REQUENA</v>
      </c>
    </row>
    <row r="363">
      <c r="A363" s="36" t="s">
        <v>2126</v>
      </c>
      <c r="B363" s="36" t="s">
        <v>2310</v>
      </c>
      <c r="C363" s="36" t="s">
        <v>2334</v>
      </c>
      <c r="D363" s="251" t="str">
        <f t="shared" si="1"/>
        <v>PUTUMAYO,ROSA PANDURO</v>
      </c>
    </row>
    <row r="364">
      <c r="A364" s="36" t="s">
        <v>2126</v>
      </c>
      <c r="B364" s="36" t="s">
        <v>2310</v>
      </c>
      <c r="C364" s="36" t="s">
        <v>2334</v>
      </c>
      <c r="D364" s="251" t="str">
        <f t="shared" si="1"/>
        <v>PUTUMAYO,ROSA PANDURO</v>
      </c>
    </row>
    <row r="365">
      <c r="A365" s="36" t="s">
        <v>2126</v>
      </c>
      <c r="B365" s="36" t="s">
        <v>2303</v>
      </c>
      <c r="C365" s="36" t="s">
        <v>1118</v>
      </c>
      <c r="D365" s="251" t="str">
        <f t="shared" si="1"/>
        <v>MARISCAL RAMON CASTILLA,SAN PABLO</v>
      </c>
    </row>
    <row r="366">
      <c r="A366" s="36" t="s">
        <v>2126</v>
      </c>
      <c r="B366" s="36" t="s">
        <v>2160</v>
      </c>
      <c r="C366" s="36" t="s">
        <v>2350</v>
      </c>
      <c r="D366" s="251" t="str">
        <f t="shared" si="1"/>
        <v>ALTO AMAZONAS,SANTA CRUZ</v>
      </c>
    </row>
    <row r="367">
      <c r="A367" s="36" t="s">
        <v>2126</v>
      </c>
      <c r="B367" s="36" t="s">
        <v>2136</v>
      </c>
      <c r="C367" s="36" t="s">
        <v>2360</v>
      </c>
      <c r="D367" s="251" t="str">
        <f t="shared" si="1"/>
        <v>REQUENA,SAQUENA</v>
      </c>
    </row>
    <row r="368">
      <c r="A368" s="36" t="s">
        <v>2126</v>
      </c>
      <c r="B368" s="36" t="s">
        <v>2136</v>
      </c>
      <c r="C368" s="36" t="s">
        <v>2360</v>
      </c>
      <c r="D368" s="251" t="str">
        <f t="shared" si="1"/>
        <v>REQUENA,SAQUENA</v>
      </c>
    </row>
    <row r="369">
      <c r="A369" s="36" t="s">
        <v>2126</v>
      </c>
      <c r="B369" s="36" t="s">
        <v>2188</v>
      </c>
      <c r="C369" s="36" t="s">
        <v>2369</v>
      </c>
      <c r="D369" s="251" t="str">
        <f t="shared" si="1"/>
        <v>UCAYALI,SARAYACU</v>
      </c>
    </row>
    <row r="370">
      <c r="A370" s="36" t="s">
        <v>2126</v>
      </c>
      <c r="B370" s="36" t="s">
        <v>2136</v>
      </c>
      <c r="C370" s="36" t="s">
        <v>2376</v>
      </c>
      <c r="D370" s="251" t="str">
        <f t="shared" si="1"/>
        <v>REQUENA,SOPLIN</v>
      </c>
    </row>
    <row r="371">
      <c r="A371" s="36" t="s">
        <v>2126</v>
      </c>
      <c r="B371" s="36" t="s">
        <v>2136</v>
      </c>
      <c r="C371" s="36" t="s">
        <v>2376</v>
      </c>
      <c r="D371" s="251" t="str">
        <f t="shared" si="1"/>
        <v>REQUENA,SOPLIN</v>
      </c>
    </row>
    <row r="372">
      <c r="A372" s="36" t="s">
        <v>2126</v>
      </c>
      <c r="B372" s="36" t="s">
        <v>2136</v>
      </c>
      <c r="C372" s="36" t="s">
        <v>2385</v>
      </c>
      <c r="D372" s="251" t="str">
        <f t="shared" si="1"/>
        <v>REQUENA,TAPICHE</v>
      </c>
    </row>
    <row r="373">
      <c r="A373" s="36" t="s">
        <v>2126</v>
      </c>
      <c r="B373" s="36" t="s">
        <v>2136</v>
      </c>
      <c r="C373" s="36" t="s">
        <v>2385</v>
      </c>
      <c r="D373" s="251" t="str">
        <f t="shared" si="1"/>
        <v>REQUENA,TAPICHE</v>
      </c>
    </row>
    <row r="374">
      <c r="A374" s="36" t="s">
        <v>2126</v>
      </c>
      <c r="B374" s="36" t="s">
        <v>2160</v>
      </c>
      <c r="C374" s="36" t="s">
        <v>2394</v>
      </c>
      <c r="D374" s="251" t="str">
        <f t="shared" si="1"/>
        <v>ALTO AMAZONAS,TENIENTE CESAR LOPEZ ROJAS</v>
      </c>
    </row>
    <row r="375">
      <c r="A375" s="36" t="s">
        <v>2126</v>
      </c>
      <c r="B375" s="36" t="s">
        <v>2160</v>
      </c>
      <c r="C375" s="36" t="s">
        <v>2394</v>
      </c>
      <c r="D375" s="251" t="str">
        <f t="shared" si="1"/>
        <v>ALTO AMAZONAS,TENIENTE CESAR LOPEZ ROJAS</v>
      </c>
    </row>
    <row r="376">
      <c r="A376" s="36" t="s">
        <v>2126</v>
      </c>
      <c r="B376" s="36" t="s">
        <v>2310</v>
      </c>
      <c r="C376" s="36" t="s">
        <v>2405</v>
      </c>
      <c r="D376" s="251" t="str">
        <f t="shared" si="1"/>
        <v>PUTUMAYO,TENIENTE MANUEL CLAVERO</v>
      </c>
    </row>
    <row r="377">
      <c r="A377" s="36" t="s">
        <v>2126</v>
      </c>
      <c r="B377" s="36" t="s">
        <v>2310</v>
      </c>
      <c r="C377" s="36" t="s">
        <v>2405</v>
      </c>
      <c r="D377" s="251" t="str">
        <f t="shared" si="1"/>
        <v>PUTUMAYO,TENIENTE MANUEL CLAVERO</v>
      </c>
    </row>
    <row r="378">
      <c r="A378" s="36" t="s">
        <v>2126</v>
      </c>
      <c r="B378" s="36" t="s">
        <v>2126</v>
      </c>
      <c r="C378" s="36" t="s">
        <v>2415</v>
      </c>
      <c r="D378" s="251" t="str">
        <f t="shared" si="1"/>
        <v>LORETO,TIGRE</v>
      </c>
    </row>
    <row r="379">
      <c r="A379" s="36" t="s">
        <v>2126</v>
      </c>
      <c r="B379" s="36" t="s">
        <v>2126</v>
      </c>
      <c r="C379" s="36" t="s">
        <v>2415</v>
      </c>
      <c r="D379" s="251" t="str">
        <f t="shared" si="1"/>
        <v>LORETO,TIGRE</v>
      </c>
    </row>
    <row r="380">
      <c r="A380" s="36" t="s">
        <v>2126</v>
      </c>
      <c r="B380" s="36" t="s">
        <v>2127</v>
      </c>
      <c r="C380" s="36" t="s">
        <v>2424</v>
      </c>
      <c r="D380" s="251" t="str">
        <f t="shared" si="1"/>
        <v>MAYNAS,TORRES CAUSANA</v>
      </c>
    </row>
    <row r="381">
      <c r="A381" s="36" t="s">
        <v>2126</v>
      </c>
      <c r="B381" s="36" t="s">
        <v>2126</v>
      </c>
      <c r="C381" s="36" t="s">
        <v>2433</v>
      </c>
      <c r="D381" s="251" t="str">
        <f t="shared" si="1"/>
        <v>LORETO,TROMPETEROS</v>
      </c>
    </row>
    <row r="382">
      <c r="A382" s="36" t="s">
        <v>2126</v>
      </c>
      <c r="B382" s="36" t="s">
        <v>2126</v>
      </c>
      <c r="C382" s="36" t="s">
        <v>2441</v>
      </c>
      <c r="D382" s="251" t="str">
        <f t="shared" si="1"/>
        <v>LORETO,URARINAS</v>
      </c>
    </row>
    <row r="383">
      <c r="A383" s="36" t="s">
        <v>2126</v>
      </c>
      <c r="B383" s="36" t="s">
        <v>2126</v>
      </c>
      <c r="C383" s="36" t="s">
        <v>2441</v>
      </c>
      <c r="D383" s="251" t="str">
        <f t="shared" si="1"/>
        <v>LORETO,URARINAS</v>
      </c>
    </row>
    <row r="384">
      <c r="A384" s="36" t="s">
        <v>2126</v>
      </c>
      <c r="B384" s="36" t="s">
        <v>2188</v>
      </c>
      <c r="C384" s="36" t="s">
        <v>2450</v>
      </c>
      <c r="D384" s="251" t="str">
        <f t="shared" si="1"/>
        <v>UCAYALI,VARGAS GUERRA</v>
      </c>
    </row>
    <row r="385">
      <c r="A385" s="36" t="s">
        <v>2126</v>
      </c>
      <c r="B385" s="36" t="s">
        <v>2310</v>
      </c>
      <c r="C385" s="36" t="s">
        <v>2458</v>
      </c>
      <c r="D385" s="251" t="str">
        <f t="shared" si="1"/>
        <v>PUTUMAYO,YAGUAS</v>
      </c>
    </row>
    <row r="386">
      <c r="A386" s="36" t="s">
        <v>2126</v>
      </c>
      <c r="B386" s="36" t="s">
        <v>2310</v>
      </c>
      <c r="C386" s="36" t="s">
        <v>2458</v>
      </c>
      <c r="D386" s="251" t="str">
        <f t="shared" si="1"/>
        <v>PUTUMAYO,YAGUAS</v>
      </c>
    </row>
    <row r="387">
      <c r="A387" s="36" t="s">
        <v>2126</v>
      </c>
      <c r="B387" s="36" t="s">
        <v>2310</v>
      </c>
      <c r="C387" s="36" t="s">
        <v>2458</v>
      </c>
      <c r="D387" s="251" t="str">
        <f t="shared" si="1"/>
        <v>PUTUMAYO,YAGUAS</v>
      </c>
    </row>
    <row r="388">
      <c r="A388" s="36" t="s">
        <v>2126</v>
      </c>
      <c r="B388" s="36" t="s">
        <v>2136</v>
      </c>
      <c r="C388" s="36" t="s">
        <v>2472</v>
      </c>
      <c r="D388" s="251" t="str">
        <f t="shared" si="1"/>
        <v>REQUENA,YAQUERANA</v>
      </c>
    </row>
    <row r="389">
      <c r="A389" s="36" t="s">
        <v>2126</v>
      </c>
      <c r="B389" s="36" t="s">
        <v>2136</v>
      </c>
      <c r="C389" s="36" t="s">
        <v>2472</v>
      </c>
      <c r="D389" s="251" t="str">
        <f t="shared" si="1"/>
        <v>REQUENA,YAQUERANA</v>
      </c>
    </row>
    <row r="390">
      <c r="A390" s="36" t="s">
        <v>2126</v>
      </c>
      <c r="B390" s="36" t="s">
        <v>2303</v>
      </c>
      <c r="C390" s="36" t="s">
        <v>2482</v>
      </c>
      <c r="D390" s="251" t="str">
        <f t="shared" si="1"/>
        <v>MARISCAL RAMON CASTILLA,YAVARI</v>
      </c>
    </row>
    <row r="391">
      <c r="A391" s="36" t="s">
        <v>2126</v>
      </c>
      <c r="B391" s="36" t="s">
        <v>2303</v>
      </c>
      <c r="C391" s="36" t="s">
        <v>2482</v>
      </c>
      <c r="D391" s="251" t="str">
        <f t="shared" si="1"/>
        <v>MARISCAL RAMON CASTILLA,YAVARI</v>
      </c>
    </row>
    <row r="392">
      <c r="A392" s="36" t="s">
        <v>2492</v>
      </c>
      <c r="B392" s="36" t="s">
        <v>2493</v>
      </c>
      <c r="C392" s="36" t="s">
        <v>2494</v>
      </c>
      <c r="D392" s="251" t="str">
        <f t="shared" si="1"/>
        <v>MANU,FITZCARRALD</v>
      </c>
    </row>
    <row r="393">
      <c r="A393" s="36" t="s">
        <v>2492</v>
      </c>
      <c r="B393" s="36" t="s">
        <v>2493</v>
      </c>
      <c r="C393" s="36" t="s">
        <v>2494</v>
      </c>
      <c r="D393" s="251" t="str">
        <f t="shared" si="1"/>
        <v>MANU,FITZCARRALD</v>
      </c>
    </row>
    <row r="394">
      <c r="A394" s="36" t="s">
        <v>2492</v>
      </c>
      <c r="B394" s="36" t="s">
        <v>2504</v>
      </c>
      <c r="C394" s="36" t="s">
        <v>2505</v>
      </c>
      <c r="D394" s="251" t="str">
        <f t="shared" si="1"/>
        <v>TAMBOPATA,LAS PIEDRAS</v>
      </c>
    </row>
    <row r="395">
      <c r="A395" s="36" t="s">
        <v>2492</v>
      </c>
      <c r="B395" s="36" t="s">
        <v>2511</v>
      </c>
      <c r="C395" s="36" t="s">
        <v>2511</v>
      </c>
      <c r="D395" s="251" t="str">
        <f t="shared" si="1"/>
        <v>TAHUAMANU,TAHUAMANU</v>
      </c>
    </row>
    <row r="396">
      <c r="A396" s="36" t="s">
        <v>2492</v>
      </c>
      <c r="B396" s="36" t="s">
        <v>2511</v>
      </c>
      <c r="C396" s="36" t="s">
        <v>2511</v>
      </c>
      <c r="D396" s="251" t="str">
        <f t="shared" si="1"/>
        <v>TAHUAMANU,TAHUAMANU</v>
      </c>
    </row>
    <row r="397">
      <c r="A397" s="36" t="s">
        <v>2522</v>
      </c>
      <c r="B397" s="36" t="s">
        <v>2523</v>
      </c>
      <c r="C397" s="36" t="s">
        <v>2524</v>
      </c>
      <c r="D397" s="251" t="str">
        <f t="shared" si="1"/>
        <v>MARISCAL NIETO,CARUMAS</v>
      </c>
    </row>
    <row r="398">
      <c r="A398" s="36" t="s">
        <v>2522</v>
      </c>
      <c r="B398" s="36" t="s">
        <v>2530</v>
      </c>
      <c r="C398" s="36" t="s">
        <v>2531</v>
      </c>
      <c r="D398" s="251" t="str">
        <f t="shared" si="1"/>
        <v>GENERAL SANCHEZ CERRO,CHOJATA</v>
      </c>
    </row>
    <row r="399">
      <c r="A399" s="36" t="s">
        <v>2522</v>
      </c>
      <c r="B399" s="36" t="s">
        <v>2530</v>
      </c>
      <c r="C399" s="36" t="s">
        <v>2538</v>
      </c>
      <c r="D399" s="251" t="str">
        <f t="shared" si="1"/>
        <v>GENERAL SANCHEZ CERRO,ICHUÑA</v>
      </c>
    </row>
    <row r="400">
      <c r="A400" s="36" t="s">
        <v>2522</v>
      </c>
      <c r="B400" s="36" t="s">
        <v>2530</v>
      </c>
      <c r="C400" s="36" t="s">
        <v>2538</v>
      </c>
      <c r="D400" s="251" t="str">
        <f t="shared" si="1"/>
        <v>GENERAL SANCHEZ CERRO,ICHUÑA</v>
      </c>
    </row>
    <row r="401">
      <c r="A401" s="36" t="s">
        <v>2522</v>
      </c>
      <c r="B401" s="36" t="s">
        <v>2530</v>
      </c>
      <c r="C401" s="36" t="s">
        <v>2549</v>
      </c>
      <c r="D401" s="251" t="str">
        <f t="shared" si="1"/>
        <v>GENERAL SANCHEZ CERRO,LA CAPILLA</v>
      </c>
    </row>
    <row r="402">
      <c r="A402" s="36" t="s">
        <v>2522</v>
      </c>
      <c r="B402" s="36" t="s">
        <v>2530</v>
      </c>
      <c r="C402" s="36" t="s">
        <v>2557</v>
      </c>
      <c r="D402" s="251" t="str">
        <f t="shared" si="1"/>
        <v>GENERAL SANCHEZ CERRO,LLOQUE</v>
      </c>
    </row>
    <row r="403">
      <c r="A403" s="36" t="s">
        <v>2522</v>
      </c>
      <c r="B403" s="36" t="s">
        <v>2530</v>
      </c>
      <c r="C403" s="36" t="s">
        <v>2562</v>
      </c>
      <c r="D403" s="251" t="str">
        <f t="shared" si="1"/>
        <v>GENERAL SANCHEZ CERRO,MATALAQUE</v>
      </c>
    </row>
    <row r="404">
      <c r="A404" s="36" t="s">
        <v>2522</v>
      </c>
      <c r="B404" s="36" t="s">
        <v>2523</v>
      </c>
      <c r="C404" s="36" t="s">
        <v>2568</v>
      </c>
      <c r="D404" s="251" t="str">
        <f t="shared" si="1"/>
        <v>MARISCAL NIETO,SAN CRISTOBAL</v>
      </c>
    </row>
    <row r="405">
      <c r="A405" s="36" t="s">
        <v>2522</v>
      </c>
      <c r="B405" s="36" t="s">
        <v>2530</v>
      </c>
      <c r="C405" s="36" t="s">
        <v>2575</v>
      </c>
      <c r="D405" s="251" t="str">
        <f t="shared" si="1"/>
        <v>GENERAL SANCHEZ CERRO,UBINAS</v>
      </c>
    </row>
    <row r="406">
      <c r="A406" s="36" t="s">
        <v>2522</v>
      </c>
      <c r="B406" s="36" t="s">
        <v>2530</v>
      </c>
      <c r="C406" s="36" t="s">
        <v>2581</v>
      </c>
      <c r="D406" s="251" t="str">
        <f t="shared" si="1"/>
        <v>GENERAL SANCHEZ CERRO,YUNGA</v>
      </c>
    </row>
    <row r="407">
      <c r="A407" s="36" t="s">
        <v>2589</v>
      </c>
      <c r="B407" s="36" t="s">
        <v>2589</v>
      </c>
      <c r="C407" s="36" t="s">
        <v>2590</v>
      </c>
      <c r="D407" s="251" t="str">
        <f t="shared" si="1"/>
        <v>PASCO,HUACHON</v>
      </c>
    </row>
    <row r="408">
      <c r="A408" s="36" t="s">
        <v>2589</v>
      </c>
      <c r="B408" s="36" t="s">
        <v>2599</v>
      </c>
      <c r="C408" s="36" t="s">
        <v>2600</v>
      </c>
      <c r="D408" s="251" t="str">
        <f t="shared" si="1"/>
        <v>OXAPAMPA,HUANCABAMBA</v>
      </c>
    </row>
    <row r="409">
      <c r="A409" s="36" t="s">
        <v>2589</v>
      </c>
      <c r="B409" s="36" t="s">
        <v>2599</v>
      </c>
      <c r="C409" s="36" t="s">
        <v>2609</v>
      </c>
      <c r="D409" s="251" t="str">
        <f t="shared" si="1"/>
        <v>OXAPAMPA,PALCAZU</v>
      </c>
    </row>
    <row r="410">
      <c r="A410" s="36" t="s">
        <v>2589</v>
      </c>
      <c r="B410" s="36" t="s">
        <v>2589</v>
      </c>
      <c r="C410" s="36" t="s">
        <v>1156</v>
      </c>
      <c r="D410" s="251" t="str">
        <f t="shared" si="1"/>
        <v>PASCO,PAUCARTAMBO</v>
      </c>
    </row>
    <row r="411">
      <c r="A411" s="36" t="s">
        <v>2589</v>
      </c>
      <c r="B411" s="36" t="s">
        <v>2599</v>
      </c>
      <c r="C411" s="36" t="s">
        <v>2618</v>
      </c>
      <c r="D411" s="251" t="str">
        <f t="shared" si="1"/>
        <v>OXAPAMPA,POZUZO</v>
      </c>
    </row>
    <row r="412">
      <c r="A412" s="36" t="s">
        <v>2589</v>
      </c>
      <c r="B412" s="36" t="s">
        <v>2599</v>
      </c>
      <c r="C412" s="36" t="s">
        <v>2625</v>
      </c>
      <c r="D412" s="251" t="str">
        <f t="shared" si="1"/>
        <v>OXAPAMPA,PUERTO BERMUDEZ</v>
      </c>
    </row>
    <row r="413">
      <c r="A413" s="36" t="s">
        <v>2589</v>
      </c>
      <c r="B413" s="36" t="s">
        <v>2589</v>
      </c>
      <c r="C413" s="36" t="s">
        <v>2632</v>
      </c>
      <c r="D413" s="251" t="str">
        <f t="shared" si="1"/>
        <v>PASCO,TICLACAYAN</v>
      </c>
    </row>
    <row r="414">
      <c r="A414" s="36" t="s">
        <v>2589</v>
      </c>
      <c r="B414" s="36" t="s">
        <v>2589</v>
      </c>
      <c r="C414" s="36" t="s">
        <v>2632</v>
      </c>
      <c r="D414" s="251" t="str">
        <f t="shared" si="1"/>
        <v>PASCO,TICLACAYAN</v>
      </c>
    </row>
    <row r="415">
      <c r="A415" s="36" t="s">
        <v>2589</v>
      </c>
      <c r="B415" s="36" t="s">
        <v>2644</v>
      </c>
      <c r="C415" s="36" t="s">
        <v>2645</v>
      </c>
      <c r="D415" s="251" t="str">
        <f t="shared" si="1"/>
        <v>DANIEL ALCIDES CARRION,VILCABAMBA</v>
      </c>
    </row>
    <row r="416">
      <c r="A416" s="36" t="s">
        <v>2589</v>
      </c>
      <c r="B416" s="36" t="s">
        <v>2589</v>
      </c>
      <c r="C416" s="36" t="s">
        <v>2651</v>
      </c>
      <c r="D416" s="251" t="str">
        <f t="shared" si="1"/>
        <v>PASCO,YANACANCHA</v>
      </c>
    </row>
    <row r="417">
      <c r="A417" s="36" t="s">
        <v>2589</v>
      </c>
      <c r="B417" s="36" t="s">
        <v>2644</v>
      </c>
      <c r="C417" s="36" t="s">
        <v>2657</v>
      </c>
      <c r="D417" s="251" t="str">
        <f t="shared" si="1"/>
        <v>DANIEL ALCIDES CARRION,YANAHUANCA</v>
      </c>
    </row>
    <row r="418">
      <c r="A418" s="36" t="s">
        <v>2664</v>
      </c>
      <c r="B418" s="36" t="s">
        <v>2665</v>
      </c>
      <c r="C418" s="36" t="s">
        <v>2666</v>
      </c>
      <c r="D418" s="251" t="str">
        <f t="shared" si="1"/>
        <v>SULLANA,MARCAVELICA</v>
      </c>
    </row>
    <row r="419">
      <c r="A419" s="36" t="s">
        <v>2664</v>
      </c>
      <c r="B419" s="36" t="s">
        <v>2665</v>
      </c>
      <c r="C419" s="36" t="s">
        <v>2666</v>
      </c>
      <c r="D419" s="251" t="str">
        <f t="shared" si="1"/>
        <v>SULLANA,MARCAVELICA</v>
      </c>
    </row>
    <row r="420">
      <c r="A420" s="36" t="s">
        <v>2677</v>
      </c>
      <c r="B420" s="36" t="s">
        <v>2678</v>
      </c>
      <c r="C420" s="36" t="s">
        <v>2679</v>
      </c>
      <c r="D420" s="251" t="str">
        <f t="shared" si="1"/>
        <v>CARABAYA,AJOYANI</v>
      </c>
    </row>
    <row r="421">
      <c r="A421" s="36" t="s">
        <v>2677</v>
      </c>
      <c r="B421" s="36" t="s">
        <v>2688</v>
      </c>
      <c r="C421" s="36" t="s">
        <v>2689</v>
      </c>
      <c r="D421" s="251" t="str">
        <f t="shared" si="1"/>
        <v>SANDIA,ALTO INAMBARI</v>
      </c>
    </row>
    <row r="422">
      <c r="A422" s="36" t="s">
        <v>2677</v>
      </c>
      <c r="B422" s="36" t="s">
        <v>2695</v>
      </c>
      <c r="C422" s="36" t="s">
        <v>2696</v>
      </c>
      <c r="D422" s="251" t="str">
        <f t="shared" si="1"/>
        <v>MELGAR,ANTAUTA</v>
      </c>
    </row>
    <row r="423">
      <c r="A423" s="36" t="s">
        <v>2677</v>
      </c>
      <c r="B423" s="36" t="s">
        <v>2702</v>
      </c>
      <c r="C423" s="36" t="s">
        <v>2703</v>
      </c>
      <c r="D423" s="251" t="str">
        <f t="shared" si="1"/>
        <v>SAN ROMAN,CABANILLAS</v>
      </c>
    </row>
    <row r="424">
      <c r="A424" s="36" t="s">
        <v>2677</v>
      </c>
      <c r="B424" s="36" t="s">
        <v>2709</v>
      </c>
      <c r="C424" s="36" t="s">
        <v>2710</v>
      </c>
      <c r="D424" s="251" t="str">
        <f t="shared" si="1"/>
        <v>EL COLLAO,CAPAZO</v>
      </c>
    </row>
    <row r="425">
      <c r="A425" s="36" t="s">
        <v>2677</v>
      </c>
      <c r="B425" s="36" t="s">
        <v>2678</v>
      </c>
      <c r="C425" s="36" t="s">
        <v>2716</v>
      </c>
      <c r="D425" s="251" t="str">
        <f t="shared" si="1"/>
        <v>CARABAYA,COASA</v>
      </c>
    </row>
    <row r="426">
      <c r="A426" s="36" t="s">
        <v>2677</v>
      </c>
      <c r="B426" s="36" t="s">
        <v>2678</v>
      </c>
      <c r="C426" s="36" t="s">
        <v>2716</v>
      </c>
      <c r="D426" s="251" t="str">
        <f t="shared" si="1"/>
        <v>CARABAYA,COASA</v>
      </c>
    </row>
    <row r="427">
      <c r="A427" s="36" t="s">
        <v>2677</v>
      </c>
      <c r="B427" s="36" t="s">
        <v>2725</v>
      </c>
      <c r="C427" s="36" t="s">
        <v>2726</v>
      </c>
      <c r="D427" s="251" t="str">
        <f t="shared" si="1"/>
        <v>HUANCANE,COJATA</v>
      </c>
    </row>
    <row r="428">
      <c r="A428" s="36" t="s">
        <v>2677</v>
      </c>
      <c r="B428" s="36" t="s">
        <v>2709</v>
      </c>
      <c r="C428" s="36" t="s">
        <v>2732</v>
      </c>
      <c r="D428" s="251" t="str">
        <f t="shared" si="1"/>
        <v>EL COLLAO,CONDURIRI</v>
      </c>
    </row>
    <row r="429">
      <c r="A429" s="36" t="s">
        <v>2677</v>
      </c>
      <c r="B429" s="36" t="s">
        <v>2678</v>
      </c>
      <c r="C429" s="36" t="s">
        <v>2739</v>
      </c>
      <c r="D429" s="251" t="str">
        <f t="shared" si="1"/>
        <v>CARABAYA,CORANI</v>
      </c>
    </row>
    <row r="430">
      <c r="A430" s="36" t="s">
        <v>2677</v>
      </c>
      <c r="B430" s="36" t="s">
        <v>2695</v>
      </c>
      <c r="C430" s="36" t="s">
        <v>2746</v>
      </c>
      <c r="D430" s="251" t="str">
        <f t="shared" si="1"/>
        <v>MELGAR,CUPI</v>
      </c>
    </row>
    <row r="431">
      <c r="A431" s="36" t="s">
        <v>2677</v>
      </c>
      <c r="B431" s="36" t="s">
        <v>2688</v>
      </c>
      <c r="C431" s="36" t="s">
        <v>2752</v>
      </c>
      <c r="D431" s="251" t="str">
        <f t="shared" si="1"/>
        <v>SANDIA,CUYOCUYO</v>
      </c>
    </row>
    <row r="432">
      <c r="A432" s="36" t="s">
        <v>2677</v>
      </c>
      <c r="B432" s="36" t="s">
        <v>2758</v>
      </c>
      <c r="C432" s="36" t="s">
        <v>2759</v>
      </c>
      <c r="D432" s="251" t="str">
        <f t="shared" si="1"/>
        <v>CHUCUITO,HUACULLANI</v>
      </c>
    </row>
    <row r="433">
      <c r="A433" s="36" t="s">
        <v>2677</v>
      </c>
      <c r="B433" s="36" t="s">
        <v>2758</v>
      </c>
      <c r="C433" s="36" t="s">
        <v>2759</v>
      </c>
      <c r="D433" s="251" t="str">
        <f t="shared" si="1"/>
        <v>CHUCUITO,HUACULLANI</v>
      </c>
    </row>
    <row r="434">
      <c r="A434" s="36" t="s">
        <v>2677</v>
      </c>
      <c r="B434" s="36" t="s">
        <v>2768</v>
      </c>
      <c r="C434" s="36" t="s">
        <v>2769</v>
      </c>
      <c r="D434" s="251" t="str">
        <f t="shared" si="1"/>
        <v>MOHO,HUAYRAPATA</v>
      </c>
    </row>
    <row r="435">
      <c r="A435" s="36" t="s">
        <v>2677</v>
      </c>
      <c r="B435" s="36" t="s">
        <v>2725</v>
      </c>
      <c r="C435" s="36" t="s">
        <v>2776</v>
      </c>
      <c r="D435" s="251" t="str">
        <f t="shared" si="1"/>
        <v>HUANCANE,INCHUPALLA</v>
      </c>
    </row>
    <row r="436">
      <c r="A436" s="36" t="s">
        <v>2677</v>
      </c>
      <c r="B436" s="36" t="s">
        <v>2678</v>
      </c>
      <c r="C436" s="36" t="s">
        <v>2782</v>
      </c>
      <c r="D436" s="251" t="str">
        <f t="shared" si="1"/>
        <v>CARABAYA,ITUATA</v>
      </c>
    </row>
    <row r="437">
      <c r="A437" s="36" t="s">
        <v>2677</v>
      </c>
      <c r="B437" s="36" t="s">
        <v>2678</v>
      </c>
      <c r="C437" s="36" t="s">
        <v>2782</v>
      </c>
      <c r="D437" s="251" t="str">
        <f t="shared" si="1"/>
        <v>CARABAYA,ITUATA</v>
      </c>
    </row>
    <row r="438">
      <c r="A438" s="36" t="s">
        <v>2677</v>
      </c>
      <c r="B438" s="36" t="s">
        <v>2688</v>
      </c>
      <c r="C438" s="36" t="s">
        <v>2791</v>
      </c>
      <c r="D438" s="251" t="str">
        <f t="shared" si="1"/>
        <v>SANDIA,LIMBANI</v>
      </c>
    </row>
    <row r="439">
      <c r="A439" s="36" t="s">
        <v>2677</v>
      </c>
      <c r="B439" s="36" t="s">
        <v>2688</v>
      </c>
      <c r="C439" s="36" t="s">
        <v>2791</v>
      </c>
      <c r="D439" s="251" t="str">
        <f t="shared" si="1"/>
        <v>SANDIA,LIMBANI</v>
      </c>
    </row>
    <row r="440">
      <c r="A440" s="36" t="s">
        <v>2677</v>
      </c>
      <c r="B440" s="36" t="s">
        <v>2695</v>
      </c>
      <c r="C440" s="36" t="s">
        <v>2802</v>
      </c>
      <c r="D440" s="251" t="str">
        <f t="shared" si="1"/>
        <v>MELGAR,LLALLI</v>
      </c>
    </row>
    <row r="441">
      <c r="A441" s="36" t="s">
        <v>2677</v>
      </c>
      <c r="B441" s="36" t="s">
        <v>2678</v>
      </c>
      <c r="C441" s="36" t="s">
        <v>2808</v>
      </c>
      <c r="D441" s="251" t="str">
        <f t="shared" si="1"/>
        <v>CARABAYA,MACUSANI</v>
      </c>
    </row>
    <row r="442">
      <c r="A442" s="36" t="s">
        <v>2677</v>
      </c>
      <c r="B442" s="36" t="s">
        <v>1874</v>
      </c>
      <c r="C442" s="36" t="s">
        <v>2814</v>
      </c>
      <c r="D442" s="251" t="str">
        <f t="shared" si="1"/>
        <v>AZANGARO,MUÑANI</v>
      </c>
    </row>
    <row r="443">
      <c r="A443" s="36" t="s">
        <v>2677</v>
      </c>
      <c r="B443" s="36" t="s">
        <v>2819</v>
      </c>
      <c r="C443" s="36" t="s">
        <v>2820</v>
      </c>
      <c r="D443" s="251" t="str">
        <f t="shared" si="1"/>
        <v>LAMPA,OCUVIRI</v>
      </c>
    </row>
    <row r="444">
      <c r="A444" s="36" t="s">
        <v>2677</v>
      </c>
      <c r="B444" s="36" t="s">
        <v>2678</v>
      </c>
      <c r="C444" s="36" t="s">
        <v>2825</v>
      </c>
      <c r="D444" s="251" t="str">
        <f t="shared" si="1"/>
        <v>CARABAYA,OLLACHEA</v>
      </c>
    </row>
    <row r="445">
      <c r="A445" s="36" t="s">
        <v>2677</v>
      </c>
      <c r="B445" s="36" t="s">
        <v>2819</v>
      </c>
      <c r="C445" s="36" t="s">
        <v>2831</v>
      </c>
      <c r="D445" s="251" t="str">
        <f t="shared" si="1"/>
        <v>LAMPA,PALCA</v>
      </c>
    </row>
    <row r="446">
      <c r="A446" s="36" t="s">
        <v>2677</v>
      </c>
      <c r="B446" s="36" t="s">
        <v>2688</v>
      </c>
      <c r="C446" s="36" t="s">
        <v>2837</v>
      </c>
      <c r="D446" s="251" t="str">
        <f t="shared" si="1"/>
        <v>SANDIA,PATAMBUCO</v>
      </c>
    </row>
    <row r="447">
      <c r="A447" s="36" t="s">
        <v>2677</v>
      </c>
      <c r="B447" s="36" t="s">
        <v>2688</v>
      </c>
      <c r="C447" s="36" t="s">
        <v>2843</v>
      </c>
      <c r="D447" s="251" t="str">
        <f t="shared" si="1"/>
        <v>SANDIA,PHARA</v>
      </c>
    </row>
    <row r="448">
      <c r="A448" s="36" t="s">
        <v>2677</v>
      </c>
      <c r="B448" s="36" t="s">
        <v>2758</v>
      </c>
      <c r="C448" s="36" t="s">
        <v>2849</v>
      </c>
      <c r="D448" s="251" t="str">
        <f t="shared" si="1"/>
        <v>CHUCUITO,PISACOMA</v>
      </c>
    </row>
    <row r="449">
      <c r="A449" s="36" t="s">
        <v>2677</v>
      </c>
      <c r="B449" s="36" t="s">
        <v>2688</v>
      </c>
      <c r="C449" s="36" t="s">
        <v>2855</v>
      </c>
      <c r="D449" s="251" t="str">
        <f t="shared" si="1"/>
        <v>SANDIA,QUIACA</v>
      </c>
    </row>
    <row r="450">
      <c r="A450" s="36" t="s">
        <v>2677</v>
      </c>
      <c r="B450" s="36" t="s">
        <v>2688</v>
      </c>
      <c r="C450" s="36" t="s">
        <v>2855</v>
      </c>
      <c r="D450" s="251" t="str">
        <f t="shared" si="1"/>
        <v>SANDIA,QUIACA</v>
      </c>
    </row>
    <row r="451">
      <c r="A451" s="36" t="s">
        <v>2677</v>
      </c>
      <c r="B451" s="36" t="s">
        <v>2677</v>
      </c>
      <c r="C451" s="36" t="s">
        <v>2864</v>
      </c>
      <c r="D451" s="251" t="str">
        <f t="shared" si="1"/>
        <v>PUNO,SAN ANTONIO</v>
      </c>
    </row>
    <row r="452">
      <c r="A452" s="36" t="s">
        <v>2677</v>
      </c>
      <c r="B452" s="36" t="s">
        <v>2678</v>
      </c>
      <c r="C452" s="36" t="s">
        <v>2870</v>
      </c>
      <c r="D452" s="251" t="str">
        <f t="shared" si="1"/>
        <v>CARABAYA,SAN GABAN</v>
      </c>
    </row>
    <row r="453">
      <c r="A453" s="36" t="s">
        <v>2677</v>
      </c>
      <c r="B453" s="36" t="s">
        <v>1874</v>
      </c>
      <c r="C453" s="36" t="s">
        <v>2876</v>
      </c>
      <c r="D453" s="251" t="str">
        <f t="shared" si="1"/>
        <v>AZANGARO,SAN JOSE</v>
      </c>
    </row>
    <row r="454">
      <c r="A454" s="36" t="s">
        <v>2677</v>
      </c>
      <c r="B454" s="36" t="s">
        <v>2688</v>
      </c>
      <c r="C454" s="36" t="s">
        <v>2881</v>
      </c>
      <c r="D454" s="251" t="str">
        <f t="shared" si="1"/>
        <v>SANDIA,SAN JUAN DEL ORO</v>
      </c>
    </row>
    <row r="455">
      <c r="A455" s="36" t="s">
        <v>2677</v>
      </c>
      <c r="B455" s="36" t="s">
        <v>2688</v>
      </c>
      <c r="C455" s="36" t="s">
        <v>2887</v>
      </c>
      <c r="D455" s="251" t="str">
        <f t="shared" si="1"/>
        <v>SANDIA,SAN PEDRO DE PUTINA PUNCO</v>
      </c>
    </row>
    <row r="456">
      <c r="A456" s="36" t="s">
        <v>2677</v>
      </c>
      <c r="B456" s="36" t="s">
        <v>2819</v>
      </c>
      <c r="C456" s="36" t="s">
        <v>1038</v>
      </c>
      <c r="D456" s="251" t="str">
        <f t="shared" si="1"/>
        <v>LAMPA,SANTA LUCIA</v>
      </c>
    </row>
    <row r="457">
      <c r="A457" s="36" t="s">
        <v>2677</v>
      </c>
      <c r="B457" s="36" t="s">
        <v>2819</v>
      </c>
      <c r="C457" s="36" t="s">
        <v>1038</v>
      </c>
      <c r="D457" s="251" t="str">
        <f t="shared" si="1"/>
        <v>LAMPA,SANTA LUCIA</v>
      </c>
    </row>
    <row r="458">
      <c r="A458" s="36" t="s">
        <v>2677</v>
      </c>
      <c r="B458" s="36" t="s">
        <v>2709</v>
      </c>
      <c r="C458" s="36" t="s">
        <v>2900</v>
      </c>
      <c r="D458" s="251" t="str">
        <f t="shared" si="1"/>
        <v>EL COLLAO,SANTA ROSA</v>
      </c>
    </row>
    <row r="459">
      <c r="A459" s="36" t="s">
        <v>2677</v>
      </c>
      <c r="B459" s="36" t="s">
        <v>2906</v>
      </c>
      <c r="C459" s="36" t="s">
        <v>2907</v>
      </c>
      <c r="D459" s="251" t="str">
        <f t="shared" si="1"/>
        <v>SAN ANTONIO DE PUTINA,SINA</v>
      </c>
    </row>
    <row r="460">
      <c r="A460" s="36" t="s">
        <v>2677</v>
      </c>
      <c r="B460" s="36" t="s">
        <v>2906</v>
      </c>
      <c r="C460" s="36" t="s">
        <v>2907</v>
      </c>
      <c r="D460" s="251" t="str">
        <f t="shared" si="1"/>
        <v>SAN ANTONIO DE PUTINA,SINA</v>
      </c>
    </row>
    <row r="461">
      <c r="A461" s="36" t="s">
        <v>2677</v>
      </c>
      <c r="B461" s="36" t="s">
        <v>2677</v>
      </c>
      <c r="C461" s="36" t="s">
        <v>2915</v>
      </c>
      <c r="D461" s="251" t="str">
        <f t="shared" si="1"/>
        <v>PUNO,TIQUILLACA</v>
      </c>
    </row>
    <row r="462">
      <c r="A462" s="36" t="s">
        <v>2677</v>
      </c>
      <c r="B462" s="36" t="s">
        <v>2695</v>
      </c>
      <c r="C462" s="36" t="s">
        <v>2922</v>
      </c>
      <c r="D462" s="251" t="str">
        <f t="shared" si="1"/>
        <v>MELGAR,UMACHIRI</v>
      </c>
    </row>
    <row r="463">
      <c r="A463" s="36" t="s">
        <v>2677</v>
      </c>
      <c r="B463" s="36" t="s">
        <v>2678</v>
      </c>
      <c r="C463" s="36" t="s">
        <v>2928</v>
      </c>
      <c r="D463" s="251" t="str">
        <f t="shared" si="1"/>
        <v>CARABAYA,USICAYOS</v>
      </c>
    </row>
    <row r="464">
      <c r="A464" s="36" t="s">
        <v>2677</v>
      </c>
      <c r="B464" s="36" t="s">
        <v>2819</v>
      </c>
      <c r="C464" s="36" t="s">
        <v>2934</v>
      </c>
      <c r="D464" s="251" t="str">
        <f t="shared" si="1"/>
        <v>LAMPA,VILAVILA</v>
      </c>
    </row>
    <row r="465">
      <c r="A465" s="36" t="s">
        <v>2677</v>
      </c>
      <c r="B465" s="36" t="s">
        <v>2688</v>
      </c>
      <c r="C465" s="36" t="s">
        <v>2939</v>
      </c>
      <c r="D465" s="251" t="str">
        <f t="shared" si="1"/>
        <v>SANDIA,YANAHUAYA</v>
      </c>
    </row>
    <row r="466">
      <c r="A466" s="36" t="s">
        <v>2944</v>
      </c>
      <c r="B466" s="36" t="s">
        <v>2945</v>
      </c>
      <c r="C466" s="36" t="s">
        <v>2946</v>
      </c>
      <c r="D466" s="251" t="str">
        <f t="shared" si="1"/>
        <v>BELLAVISTA,ALTO BIAVO</v>
      </c>
    </row>
    <row r="467">
      <c r="A467" s="36" t="s">
        <v>2944</v>
      </c>
      <c r="B467" s="36" t="s">
        <v>2945</v>
      </c>
      <c r="C467" s="36" t="s">
        <v>2946</v>
      </c>
      <c r="D467" s="251" t="str">
        <f t="shared" si="1"/>
        <v>BELLAVISTA,ALTO BIAVO</v>
      </c>
    </row>
    <row r="468">
      <c r="A468" s="70" t="s">
        <v>2944</v>
      </c>
      <c r="B468" s="70" t="s">
        <v>2958</v>
      </c>
      <c r="C468" s="70" t="s">
        <v>2959</v>
      </c>
      <c r="D468" s="251" t="str">
        <f t="shared" si="1"/>
        <v>LAMAS,BARRANQUITA</v>
      </c>
    </row>
    <row r="469">
      <c r="A469" s="36" t="s">
        <v>2944</v>
      </c>
      <c r="B469" s="36" t="s">
        <v>2967</v>
      </c>
      <c r="C469" s="36" t="s">
        <v>2968</v>
      </c>
      <c r="D469" s="251" t="str">
        <f t="shared" si="1"/>
        <v>PICOTA,BUENOS AIRES</v>
      </c>
    </row>
    <row r="470">
      <c r="A470" s="36" t="s">
        <v>2944</v>
      </c>
      <c r="B470" s="36" t="s">
        <v>2944</v>
      </c>
      <c r="C470" s="36" t="s">
        <v>2974</v>
      </c>
      <c r="D470" s="251" t="str">
        <f t="shared" si="1"/>
        <v>SAN MARTIN,CHIPURANA</v>
      </c>
    </row>
    <row r="471">
      <c r="A471" s="36" t="s">
        <v>2944</v>
      </c>
      <c r="B471" s="36" t="s">
        <v>2944</v>
      </c>
      <c r="C471" s="36" t="s">
        <v>2979</v>
      </c>
      <c r="D471" s="251" t="str">
        <f t="shared" si="1"/>
        <v>SAN MARTIN,EL PORVENIR</v>
      </c>
    </row>
    <row r="472">
      <c r="A472" s="36" t="s">
        <v>2944</v>
      </c>
      <c r="B472" s="36" t="s">
        <v>2945</v>
      </c>
      <c r="C472" s="36" t="s">
        <v>2984</v>
      </c>
      <c r="D472" s="251" t="str">
        <f t="shared" si="1"/>
        <v>BELLAVISTA,HUALLAGA</v>
      </c>
    </row>
    <row r="473">
      <c r="A473" s="36" t="s">
        <v>2944</v>
      </c>
      <c r="B473" s="36" t="s">
        <v>2989</v>
      </c>
      <c r="C473" s="36" t="s">
        <v>2990</v>
      </c>
      <c r="D473" s="251" t="str">
        <f t="shared" si="1"/>
        <v>MARISCAL CACERES,HUICUNGO</v>
      </c>
    </row>
    <row r="474">
      <c r="A474" s="36" t="s">
        <v>2944</v>
      </c>
      <c r="B474" s="36" t="s">
        <v>2944</v>
      </c>
      <c r="C474" s="36" t="s">
        <v>2995</v>
      </c>
      <c r="D474" s="251" t="str">
        <f t="shared" si="1"/>
        <v>SAN MARTIN,HUIMBAYOC</v>
      </c>
    </row>
    <row r="475">
      <c r="A475" s="36" t="s">
        <v>2944</v>
      </c>
      <c r="B475" s="36" t="s">
        <v>2944</v>
      </c>
      <c r="C475" s="36" t="s">
        <v>2995</v>
      </c>
      <c r="D475" s="251" t="str">
        <f t="shared" si="1"/>
        <v>SAN MARTIN,HUIMBAYOC</v>
      </c>
    </row>
    <row r="476">
      <c r="A476" s="36" t="s">
        <v>2944</v>
      </c>
      <c r="B476" s="36" t="s">
        <v>2944</v>
      </c>
      <c r="C476" s="36" t="s">
        <v>3003</v>
      </c>
      <c r="D476" s="251" t="str">
        <f t="shared" si="1"/>
        <v>SAN MARTIN,PAPAPLAYA</v>
      </c>
    </row>
    <row r="477">
      <c r="A477" s="36" t="s">
        <v>2944</v>
      </c>
      <c r="B477" s="36" t="s">
        <v>2958</v>
      </c>
      <c r="C477" s="36" t="s">
        <v>3008</v>
      </c>
      <c r="D477" s="251" t="str">
        <f t="shared" si="1"/>
        <v>LAMAS,SAN ROQUE DE CUMBAZA</v>
      </c>
    </row>
    <row r="478">
      <c r="A478" s="36" t="s">
        <v>2944</v>
      </c>
      <c r="B478" s="36" t="s">
        <v>2967</v>
      </c>
      <c r="C478" s="36" t="s">
        <v>3013</v>
      </c>
      <c r="D478" s="251" t="str">
        <f t="shared" si="1"/>
        <v>PICOTA,SHAMBOYACU</v>
      </c>
    </row>
    <row r="479">
      <c r="A479" s="36" t="s">
        <v>2944</v>
      </c>
      <c r="B479" s="36" t="s">
        <v>2944</v>
      </c>
      <c r="C479" s="36" t="s">
        <v>3019</v>
      </c>
      <c r="D479" s="251" t="str">
        <f t="shared" si="1"/>
        <v>SAN MARTIN,SHAPAJA</v>
      </c>
    </row>
    <row r="480">
      <c r="A480" s="36" t="s">
        <v>2944</v>
      </c>
      <c r="B480" s="36" t="s">
        <v>3024</v>
      </c>
      <c r="C480" s="36" t="s">
        <v>3025</v>
      </c>
      <c r="D480" s="251" t="str">
        <f t="shared" si="1"/>
        <v>MOYOBAMBA,SORITOR</v>
      </c>
    </row>
    <row r="481">
      <c r="A481" s="36" t="s">
        <v>2944</v>
      </c>
      <c r="B481" s="36" t="s">
        <v>2967</v>
      </c>
      <c r="C481" s="36" t="s">
        <v>3030</v>
      </c>
      <c r="D481" s="251" t="str">
        <f t="shared" si="1"/>
        <v>PICOTA,TRES UNIDOS</v>
      </c>
    </row>
    <row r="482">
      <c r="A482" s="36" t="s">
        <v>3035</v>
      </c>
      <c r="B482" s="36" t="s">
        <v>3036</v>
      </c>
      <c r="C482" s="36" t="s">
        <v>3037</v>
      </c>
      <c r="D482" s="251" t="str">
        <f t="shared" si="1"/>
        <v>TARATA,ESTIQUE</v>
      </c>
    </row>
    <row r="483">
      <c r="A483" s="36" t="s">
        <v>3035</v>
      </c>
      <c r="B483" s="36" t="s">
        <v>3036</v>
      </c>
      <c r="C483" s="36" t="s">
        <v>3037</v>
      </c>
      <c r="D483" s="251" t="str">
        <f t="shared" si="1"/>
        <v>TARATA,ESTIQUE</v>
      </c>
    </row>
    <row r="484">
      <c r="A484" s="36" t="s">
        <v>3035</v>
      </c>
      <c r="B484" s="36" t="s">
        <v>3036</v>
      </c>
      <c r="C484" s="36" t="s">
        <v>3048</v>
      </c>
      <c r="D484" s="251" t="str">
        <f t="shared" si="1"/>
        <v>TARATA,HEROES ALBARRACIN</v>
      </c>
    </row>
    <row r="485">
      <c r="A485" s="36" t="s">
        <v>3035</v>
      </c>
      <c r="B485" s="36" t="s">
        <v>3036</v>
      </c>
      <c r="C485" s="36" t="s">
        <v>3048</v>
      </c>
      <c r="D485" s="251" t="str">
        <f t="shared" si="1"/>
        <v>TARATA,HEROES ALBARRACIN</v>
      </c>
    </row>
    <row r="486">
      <c r="A486" s="36" t="s">
        <v>3035</v>
      </c>
      <c r="B486" s="36" t="s">
        <v>3057</v>
      </c>
      <c r="C486" s="36" t="s">
        <v>3058</v>
      </c>
      <c r="D486" s="251" t="str">
        <f t="shared" si="1"/>
        <v>CANDARAVE,HUANUARA</v>
      </c>
    </row>
    <row r="487">
      <c r="A487" s="36" t="s">
        <v>3035</v>
      </c>
      <c r="B487" s="36" t="s">
        <v>3035</v>
      </c>
      <c r="C487" s="36" t="s">
        <v>2831</v>
      </c>
      <c r="D487" s="251" t="str">
        <f t="shared" si="1"/>
        <v>TACNA,PALCA</v>
      </c>
    </row>
    <row r="488">
      <c r="A488" s="36" t="s">
        <v>3035</v>
      </c>
      <c r="B488" s="36" t="s">
        <v>3036</v>
      </c>
      <c r="C488" s="36" t="s">
        <v>3067</v>
      </c>
      <c r="D488" s="251" t="str">
        <f t="shared" si="1"/>
        <v>TARATA,SUSAPAYA</v>
      </c>
    </row>
    <row r="489">
      <c r="A489" s="36" t="s">
        <v>3035</v>
      </c>
      <c r="B489" s="36" t="s">
        <v>3036</v>
      </c>
      <c r="C489" s="36" t="s">
        <v>3036</v>
      </c>
      <c r="D489" s="251" t="str">
        <f t="shared" si="1"/>
        <v>TARATA,TARATA</v>
      </c>
    </row>
    <row r="490">
      <c r="A490" s="36" t="s">
        <v>3035</v>
      </c>
      <c r="B490" s="36" t="s">
        <v>3036</v>
      </c>
      <c r="C490" s="36" t="s">
        <v>3077</v>
      </c>
      <c r="D490" s="251" t="str">
        <f t="shared" si="1"/>
        <v>TARATA,TICACO</v>
      </c>
    </row>
    <row r="491">
      <c r="A491" s="36" t="s">
        <v>2188</v>
      </c>
      <c r="B491" s="36" t="s">
        <v>3083</v>
      </c>
      <c r="C491" s="36" t="s">
        <v>3084</v>
      </c>
      <c r="D491" s="251" t="str">
        <f t="shared" si="1"/>
        <v>CORONEL PORTILLO,IPARIA</v>
      </c>
    </row>
    <row r="492">
      <c r="A492" s="36" t="s">
        <v>2188</v>
      </c>
      <c r="B492" s="36" t="s">
        <v>3083</v>
      </c>
      <c r="C492" s="36" t="s">
        <v>3084</v>
      </c>
      <c r="D492" s="251" t="str">
        <f t="shared" si="1"/>
        <v>CORONEL PORTILLO,IPARIA</v>
      </c>
    </row>
    <row r="493">
      <c r="A493" s="268" t="s">
        <v>2188</v>
      </c>
      <c r="B493" s="268" t="s">
        <v>3083</v>
      </c>
      <c r="C493" s="268" t="s">
        <v>3092</v>
      </c>
      <c r="D493" s="251" t="str">
        <f t="shared" si="1"/>
        <v>CORONEL PORTILLO,MASISEA</v>
      </c>
    </row>
    <row r="494">
      <c r="A494" s="268" t="s">
        <v>2188</v>
      </c>
      <c r="B494" s="268" t="s">
        <v>3097</v>
      </c>
      <c r="C494" s="268" t="s">
        <v>3097</v>
      </c>
      <c r="D494" s="251" t="str">
        <f t="shared" si="1"/>
        <v>PURUS,PURUS</v>
      </c>
    </row>
    <row r="495">
      <c r="A495" s="268" t="s">
        <v>2188</v>
      </c>
      <c r="B495" s="268" t="s">
        <v>3097</v>
      </c>
      <c r="C495" s="268" t="s">
        <v>3097</v>
      </c>
      <c r="D495" s="251" t="str">
        <f t="shared" si="1"/>
        <v>PURUS,PURUS</v>
      </c>
    </row>
    <row r="496">
      <c r="A496" s="268" t="s">
        <v>2188</v>
      </c>
      <c r="B496" s="268" t="s">
        <v>3106</v>
      </c>
      <c r="C496" s="268" t="s">
        <v>3107</v>
      </c>
      <c r="D496" s="251" t="str">
        <f t="shared" si="1"/>
        <v>ATALAYA,TAHUANIA</v>
      </c>
    </row>
    <row r="497">
      <c r="A497" s="268" t="s">
        <v>2188</v>
      </c>
      <c r="B497" s="268" t="s">
        <v>3106</v>
      </c>
      <c r="C497" s="268" t="s">
        <v>3107</v>
      </c>
      <c r="D497" s="251" t="str">
        <f t="shared" si="1"/>
        <v>ATALAYA,TAHUANIA</v>
      </c>
    </row>
    <row r="498">
      <c r="A498" s="269" t="s">
        <v>2188</v>
      </c>
      <c r="B498" s="269" t="s">
        <v>3106</v>
      </c>
      <c r="C498" s="269" t="s">
        <v>3115</v>
      </c>
      <c r="D498" s="251" t="str">
        <f t="shared" si="1"/>
        <v>ATALAYA,YURUA</v>
      </c>
    </row>
    <row r="499">
      <c r="D499" s="251">
        <f>IFERROR(__xludf.DUMMYFUNCTION("COUNTUNIQUE(D3:D498)"),404.0)</f>
        <v>404</v>
      </c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9.5" customHeight="1">
      <c r="A1" s="18" t="s">
        <v>11</v>
      </c>
      <c r="B1" s="18" t="s">
        <v>12</v>
      </c>
      <c r="C1" s="18" t="s">
        <v>13</v>
      </c>
      <c r="D1" s="19" t="s">
        <v>14</v>
      </c>
      <c r="E1" s="20" t="s">
        <v>15</v>
      </c>
      <c r="F1" s="21" t="s">
        <v>16</v>
      </c>
      <c r="G1" s="22" t="s">
        <v>17</v>
      </c>
      <c r="H1" s="20" t="s">
        <v>18</v>
      </c>
      <c r="I1" s="20" t="s">
        <v>19</v>
      </c>
      <c r="J1" s="23" t="s">
        <v>20</v>
      </c>
      <c r="K1" s="23" t="s">
        <v>3119</v>
      </c>
      <c r="L1" s="29" t="s">
        <v>36</v>
      </c>
      <c r="M1" s="24" t="s">
        <v>21</v>
      </c>
      <c r="N1" s="24" t="s">
        <v>3249</v>
      </c>
      <c r="O1" s="24" t="s">
        <v>3250</v>
      </c>
      <c r="P1" s="25" t="s">
        <v>23</v>
      </c>
      <c r="Q1" s="25" t="s">
        <v>24</v>
      </c>
      <c r="R1" s="25" t="s">
        <v>25</v>
      </c>
      <c r="S1" s="26" t="s">
        <v>26</v>
      </c>
      <c r="T1" s="26" t="s">
        <v>27</v>
      </c>
      <c r="U1" s="26" t="s">
        <v>28</v>
      </c>
      <c r="V1" s="26" t="s">
        <v>29</v>
      </c>
      <c r="W1" s="26" t="s">
        <v>30</v>
      </c>
    </row>
    <row r="2" ht="25.5" customHeight="1">
      <c r="A2" s="35" t="s">
        <v>196</v>
      </c>
      <c r="B2" s="36" t="s">
        <v>58</v>
      </c>
      <c r="C2" s="36" t="s">
        <v>137</v>
      </c>
      <c r="D2" s="61" t="s">
        <v>197</v>
      </c>
      <c r="E2" s="62" t="s">
        <v>208</v>
      </c>
      <c r="F2" s="38"/>
      <c r="G2" s="61"/>
      <c r="H2" s="40" t="s">
        <v>200</v>
      </c>
      <c r="I2" s="40" t="s">
        <v>201</v>
      </c>
      <c r="J2" s="40" t="s">
        <v>149</v>
      </c>
      <c r="K2" s="40"/>
      <c r="L2" s="40" t="s">
        <v>73</v>
      </c>
      <c r="M2" s="41" t="s">
        <v>202</v>
      </c>
      <c r="N2" s="41">
        <v>654321.0</v>
      </c>
      <c r="O2" s="41"/>
      <c r="P2" s="57" t="s">
        <v>203</v>
      </c>
      <c r="Q2" s="58" t="s">
        <v>146</v>
      </c>
      <c r="R2" s="59" t="s">
        <v>147</v>
      </c>
      <c r="S2" s="45" t="s">
        <v>67</v>
      </c>
      <c r="T2" s="45" t="s">
        <v>67</v>
      </c>
      <c r="U2" s="46">
        <v>1.0</v>
      </c>
      <c r="V2" s="45" t="s">
        <v>74</v>
      </c>
      <c r="W2" s="64"/>
    </row>
    <row r="3">
      <c r="A3" s="35" t="s">
        <v>206</v>
      </c>
      <c r="B3" s="36" t="s">
        <v>58</v>
      </c>
      <c r="C3" s="36" t="s">
        <v>107</v>
      </c>
      <c r="D3" s="36" t="s">
        <v>207</v>
      </c>
      <c r="E3" s="62"/>
      <c r="F3" s="38"/>
      <c r="G3" s="39"/>
      <c r="H3" s="38" t="s">
        <v>209</v>
      </c>
      <c r="I3" s="38" t="s">
        <v>201</v>
      </c>
      <c r="J3" s="40" t="s">
        <v>149</v>
      </c>
      <c r="K3" s="40"/>
      <c r="L3" s="40" t="s">
        <v>73</v>
      </c>
      <c r="M3" s="41" t="s">
        <v>210</v>
      </c>
      <c r="N3" s="41">
        <v>654321.0</v>
      </c>
      <c r="O3" s="41"/>
      <c r="P3" s="41" t="s">
        <v>68</v>
      </c>
      <c r="Q3" s="43" t="s">
        <v>69</v>
      </c>
      <c r="R3" s="44" t="s">
        <v>70</v>
      </c>
      <c r="S3" s="45"/>
      <c r="T3" s="45" t="s">
        <v>67</v>
      </c>
      <c r="U3" s="46">
        <v>1.0</v>
      </c>
      <c r="V3" s="45" t="s">
        <v>74</v>
      </c>
      <c r="W3" s="64"/>
    </row>
    <row r="4">
      <c r="A4" s="35" t="s">
        <v>354</v>
      </c>
      <c r="B4" s="36" t="s">
        <v>319</v>
      </c>
      <c r="C4" s="36" t="s">
        <v>320</v>
      </c>
      <c r="D4" s="61" t="s">
        <v>355</v>
      </c>
      <c r="E4" s="62" t="s">
        <v>208</v>
      </c>
      <c r="F4" s="38"/>
      <c r="G4" s="61"/>
      <c r="H4" s="40" t="s">
        <v>358</v>
      </c>
      <c r="I4" s="40" t="s">
        <v>201</v>
      </c>
      <c r="J4" s="40" t="s">
        <v>149</v>
      </c>
      <c r="K4" s="40"/>
      <c r="L4" s="40" t="s">
        <v>73</v>
      </c>
      <c r="M4" s="41" t="s">
        <v>359</v>
      </c>
      <c r="N4" s="41">
        <v>654321.0</v>
      </c>
      <c r="O4" s="41"/>
      <c r="P4" s="41" t="s">
        <v>328</v>
      </c>
      <c r="Q4" s="43" t="s">
        <v>329</v>
      </c>
      <c r="R4" s="44">
        <v>9.97795341E8</v>
      </c>
      <c r="S4" s="45"/>
      <c r="T4" s="45" t="s">
        <v>67</v>
      </c>
      <c r="U4" s="46">
        <v>1.0</v>
      </c>
      <c r="V4" s="45" t="s">
        <v>74</v>
      </c>
      <c r="W4" s="64"/>
    </row>
    <row r="5">
      <c r="A5" s="35" t="s">
        <v>595</v>
      </c>
      <c r="B5" s="78" t="s">
        <v>573</v>
      </c>
      <c r="C5" s="78" t="s">
        <v>596</v>
      </c>
      <c r="D5" s="61" t="s">
        <v>597</v>
      </c>
      <c r="E5" s="79" t="s">
        <v>590</v>
      </c>
      <c r="F5" s="80" t="s">
        <v>598</v>
      </c>
      <c r="G5" s="78">
        <v>9.8369484E8</v>
      </c>
      <c r="H5" s="81" t="s">
        <v>200</v>
      </c>
      <c r="I5" s="81" t="s">
        <v>599</v>
      </c>
      <c r="J5" s="81" t="s">
        <v>149</v>
      </c>
      <c r="K5" s="81" t="s">
        <v>67</v>
      </c>
      <c r="L5" s="81" t="s">
        <v>602</v>
      </c>
      <c r="M5" s="82" t="s">
        <v>600</v>
      </c>
      <c r="N5" s="82">
        <v>654321.0</v>
      </c>
      <c r="O5" s="41"/>
      <c r="P5" s="82" t="s">
        <v>589</v>
      </c>
      <c r="Q5" s="83" t="s">
        <v>590</v>
      </c>
      <c r="R5" s="42" t="s">
        <v>591</v>
      </c>
      <c r="S5" s="84"/>
      <c r="T5" s="45" t="s">
        <v>67</v>
      </c>
      <c r="U5" s="85">
        <v>1.0</v>
      </c>
      <c r="V5" s="84"/>
      <c r="W5" s="86"/>
    </row>
    <row r="6">
      <c r="A6" s="35" t="s">
        <v>934</v>
      </c>
      <c r="B6" s="36" t="s">
        <v>872</v>
      </c>
      <c r="C6" s="36" t="s">
        <v>879</v>
      </c>
      <c r="D6" s="61" t="s">
        <v>935</v>
      </c>
      <c r="E6" s="62" t="s">
        <v>936</v>
      </c>
      <c r="F6" s="38" t="s">
        <v>937</v>
      </c>
      <c r="G6" s="61">
        <v>9.88809915E8</v>
      </c>
      <c r="H6" s="40" t="s">
        <v>209</v>
      </c>
      <c r="I6" s="40" t="s">
        <v>938</v>
      </c>
      <c r="J6" s="40" t="s">
        <v>149</v>
      </c>
      <c r="K6" s="40"/>
      <c r="L6" s="40" t="s">
        <v>793</v>
      </c>
      <c r="M6" s="42" t="s">
        <v>939</v>
      </c>
      <c r="N6" s="41">
        <v>654321.0</v>
      </c>
      <c r="O6" s="41"/>
      <c r="P6" s="41" t="s">
        <v>884</v>
      </c>
      <c r="Q6" s="43" t="s">
        <v>885</v>
      </c>
      <c r="R6" s="42" t="s">
        <v>886</v>
      </c>
      <c r="S6" s="45"/>
      <c r="T6" s="45" t="s">
        <v>67</v>
      </c>
      <c r="U6" s="46">
        <v>1.0</v>
      </c>
      <c r="V6" s="45"/>
      <c r="W6" s="58">
        <v>3.0409651E7</v>
      </c>
    </row>
    <row r="7">
      <c r="A7" s="35" t="s">
        <v>1279</v>
      </c>
      <c r="B7" s="36" t="s">
        <v>1141</v>
      </c>
      <c r="C7" s="36" t="s">
        <v>1195</v>
      </c>
      <c r="D7" s="61" t="s">
        <v>1280</v>
      </c>
      <c r="E7" s="37" t="s">
        <v>208</v>
      </c>
      <c r="F7" s="38"/>
      <c r="G7" s="61"/>
      <c r="H7" s="40" t="s">
        <v>200</v>
      </c>
      <c r="I7" s="40" t="s">
        <v>1281</v>
      </c>
      <c r="J7" s="40" t="s">
        <v>149</v>
      </c>
      <c r="K7" s="40"/>
      <c r="L7" s="40" t="s">
        <v>1184</v>
      </c>
      <c r="M7" s="41" t="s">
        <v>1282</v>
      </c>
      <c r="N7" s="41">
        <v>654321.0</v>
      </c>
      <c r="O7" s="41"/>
      <c r="P7" s="41" t="s">
        <v>1200</v>
      </c>
      <c r="Q7" s="43" t="s">
        <v>1201</v>
      </c>
      <c r="R7" s="42" t="s">
        <v>1202</v>
      </c>
      <c r="S7" s="45"/>
      <c r="T7" s="45" t="s">
        <v>67</v>
      </c>
      <c r="U7" s="46">
        <v>1.0</v>
      </c>
      <c r="V7" s="45"/>
      <c r="W7" s="64"/>
    </row>
    <row r="8">
      <c r="A8" s="35" t="s">
        <v>1331</v>
      </c>
      <c r="B8" s="36" t="s">
        <v>1332</v>
      </c>
      <c r="C8" s="36" t="s">
        <v>1333</v>
      </c>
      <c r="D8" s="61" t="s">
        <v>1334</v>
      </c>
      <c r="E8" s="37" t="s">
        <v>208</v>
      </c>
      <c r="F8" s="39"/>
      <c r="G8" s="61"/>
      <c r="H8" s="61" t="s">
        <v>209</v>
      </c>
      <c r="I8" s="61" t="s">
        <v>201</v>
      </c>
      <c r="J8" s="40" t="s">
        <v>149</v>
      </c>
      <c r="K8" s="40" t="s">
        <v>67</v>
      </c>
      <c r="L8" s="40" t="s">
        <v>1184</v>
      </c>
      <c r="M8" s="41" t="s">
        <v>1335</v>
      </c>
      <c r="N8" s="41">
        <v>654321.0</v>
      </c>
      <c r="O8" s="41"/>
      <c r="P8" s="41" t="s">
        <v>1336</v>
      </c>
      <c r="Q8" s="43" t="s">
        <v>1337</v>
      </c>
      <c r="R8" s="59" t="s">
        <v>1338</v>
      </c>
      <c r="S8" s="45"/>
      <c r="T8" s="45" t="s">
        <v>67</v>
      </c>
      <c r="U8" s="46">
        <v>2.0</v>
      </c>
      <c r="V8" s="45"/>
      <c r="W8" s="64"/>
    </row>
    <row r="9">
      <c r="A9" s="35" t="s">
        <v>1482</v>
      </c>
      <c r="B9" s="36" t="s">
        <v>1483</v>
      </c>
      <c r="C9" s="36" t="s">
        <v>1484</v>
      </c>
      <c r="D9" s="61" t="s">
        <v>1363</v>
      </c>
      <c r="E9" s="62" t="s">
        <v>1485</v>
      </c>
      <c r="F9" s="38" t="s">
        <v>1486</v>
      </c>
      <c r="G9" s="61">
        <v>9.69539519E8</v>
      </c>
      <c r="H9" s="40" t="s">
        <v>1487</v>
      </c>
      <c r="I9" s="40" t="s">
        <v>1488</v>
      </c>
      <c r="J9" s="40" t="s">
        <v>149</v>
      </c>
      <c r="K9" s="40"/>
      <c r="L9" s="40" t="s">
        <v>1396</v>
      </c>
      <c r="M9" s="41" t="s">
        <v>1489</v>
      </c>
      <c r="N9" s="41">
        <v>654321.0</v>
      </c>
      <c r="O9" s="41"/>
      <c r="P9" s="53" t="s">
        <v>374</v>
      </c>
      <c r="Q9" s="43" t="s">
        <v>375</v>
      </c>
      <c r="R9" s="44" t="s">
        <v>376</v>
      </c>
      <c r="S9" s="45" t="s">
        <v>67</v>
      </c>
      <c r="T9" s="45" t="s">
        <v>67</v>
      </c>
      <c r="U9" s="46">
        <v>2.0</v>
      </c>
      <c r="V9" s="45"/>
      <c r="W9" s="58" t="s">
        <v>1490</v>
      </c>
    </row>
    <row r="10">
      <c r="A10" s="35" t="s">
        <v>1844</v>
      </c>
      <c r="B10" s="36" t="s">
        <v>1788</v>
      </c>
      <c r="C10" s="36" t="s">
        <v>1798</v>
      </c>
      <c r="D10" s="36" t="s">
        <v>1845</v>
      </c>
      <c r="E10" s="62" t="s">
        <v>1846</v>
      </c>
      <c r="F10" s="38" t="s">
        <v>1847</v>
      </c>
      <c r="G10" s="61">
        <v>9.47714378E8</v>
      </c>
      <c r="H10" s="40" t="s">
        <v>200</v>
      </c>
      <c r="I10" s="40" t="s">
        <v>1848</v>
      </c>
      <c r="J10" s="40" t="s">
        <v>149</v>
      </c>
      <c r="K10" s="40" t="s">
        <v>67</v>
      </c>
      <c r="L10" s="40" t="s">
        <v>1796</v>
      </c>
      <c r="M10" s="42" t="s">
        <v>1849</v>
      </c>
      <c r="N10" s="41">
        <v>654321.0</v>
      </c>
      <c r="O10" s="41"/>
      <c r="P10" s="41" t="s">
        <v>1803</v>
      </c>
      <c r="Q10" s="58" t="s">
        <v>1850</v>
      </c>
      <c r="R10" s="59" t="s">
        <v>1851</v>
      </c>
      <c r="S10" s="45"/>
      <c r="T10" s="45" t="s">
        <v>67</v>
      </c>
      <c r="U10" s="46">
        <v>2.0</v>
      </c>
      <c r="V10" s="45" t="s">
        <v>74</v>
      </c>
      <c r="W10" s="64"/>
    </row>
    <row r="11">
      <c r="A11" s="35" t="s">
        <v>1883</v>
      </c>
      <c r="B11" s="36" t="s">
        <v>1865</v>
      </c>
      <c r="C11" s="36" t="s">
        <v>1873</v>
      </c>
      <c r="D11" s="36" t="s">
        <v>1884</v>
      </c>
      <c r="E11" s="37"/>
      <c r="F11" s="38"/>
      <c r="G11" s="159"/>
      <c r="H11" s="40"/>
      <c r="I11" s="40"/>
      <c r="J11" s="40" t="s">
        <v>149</v>
      </c>
      <c r="K11" s="40"/>
      <c r="L11" s="40" t="s">
        <v>1796</v>
      </c>
      <c r="M11" s="42" t="s">
        <v>1886</v>
      </c>
      <c r="N11" s="41">
        <v>654321.0</v>
      </c>
      <c r="O11" s="41"/>
      <c r="P11" s="41" t="s">
        <v>1878</v>
      </c>
      <c r="Q11" s="43" t="s">
        <v>1879</v>
      </c>
      <c r="R11" s="44">
        <v>0.0</v>
      </c>
      <c r="S11" s="45"/>
      <c r="T11" s="45" t="s">
        <v>67</v>
      </c>
      <c r="U11" s="46">
        <v>2.0</v>
      </c>
      <c r="V11" s="45"/>
      <c r="W11" s="64"/>
    </row>
    <row r="12">
      <c r="A12" s="35" t="s">
        <v>1901</v>
      </c>
      <c r="B12" s="36" t="s">
        <v>1865</v>
      </c>
      <c r="C12" s="36" t="s">
        <v>1902</v>
      </c>
      <c r="D12" s="36" t="s">
        <v>1903</v>
      </c>
      <c r="E12" s="62"/>
      <c r="F12" s="38"/>
      <c r="G12" s="61"/>
      <c r="H12" s="40"/>
      <c r="I12" s="40"/>
      <c r="J12" s="40" t="s">
        <v>149</v>
      </c>
      <c r="K12" s="40"/>
      <c r="L12" s="40" t="s">
        <v>1796</v>
      </c>
      <c r="M12" s="41" t="s">
        <v>1904</v>
      </c>
      <c r="N12" s="41">
        <v>654321.0</v>
      </c>
      <c r="O12" s="41"/>
      <c r="P12" s="41" t="s">
        <v>1871</v>
      </c>
      <c r="Q12" s="43">
        <v>0.0</v>
      </c>
      <c r="R12" s="44">
        <v>0.0</v>
      </c>
      <c r="S12" s="45"/>
      <c r="T12" s="45" t="s">
        <v>226</v>
      </c>
      <c r="U12" s="165"/>
      <c r="V12" s="45"/>
      <c r="W12" s="64"/>
    </row>
    <row r="13">
      <c r="A13" s="35" t="s">
        <v>2432</v>
      </c>
      <c r="B13" s="36" t="s">
        <v>2126</v>
      </c>
      <c r="C13" s="36" t="s">
        <v>2126</v>
      </c>
      <c r="D13" s="36" t="s">
        <v>2433</v>
      </c>
      <c r="E13" s="62" t="s">
        <v>2434</v>
      </c>
      <c r="F13" s="38" t="s">
        <v>2435</v>
      </c>
      <c r="G13" s="61">
        <v>9.65257601E8</v>
      </c>
      <c r="H13" s="40" t="s">
        <v>209</v>
      </c>
      <c r="I13" s="40" t="s">
        <v>201</v>
      </c>
      <c r="J13" s="40" t="s">
        <v>149</v>
      </c>
      <c r="K13" s="40" t="s">
        <v>67</v>
      </c>
      <c r="L13" s="40" t="s">
        <v>2356</v>
      </c>
      <c r="M13" s="41" t="s">
        <v>2436</v>
      </c>
      <c r="N13" s="41">
        <v>654321.0</v>
      </c>
      <c r="O13" s="41"/>
      <c r="P13" s="43" t="s">
        <v>2132</v>
      </c>
      <c r="Q13" s="43" t="s">
        <v>2133</v>
      </c>
      <c r="R13" s="42">
        <v>9.14383274E8</v>
      </c>
      <c r="S13" s="45" t="s">
        <v>67</v>
      </c>
      <c r="T13" s="45" t="s">
        <v>67</v>
      </c>
      <c r="U13" s="46">
        <v>3.0</v>
      </c>
      <c r="V13" s="45" t="s">
        <v>67</v>
      </c>
      <c r="W13" s="58" t="s">
        <v>2437</v>
      </c>
    </row>
    <row r="14">
      <c r="A14" s="35" t="s">
        <v>2503</v>
      </c>
      <c r="B14" s="36" t="s">
        <v>2492</v>
      </c>
      <c r="C14" s="36" t="s">
        <v>2504</v>
      </c>
      <c r="D14" s="36" t="s">
        <v>2505</v>
      </c>
      <c r="E14" s="62"/>
      <c r="F14" s="38"/>
      <c r="G14" s="61"/>
      <c r="H14" s="40"/>
      <c r="I14" s="40"/>
      <c r="J14" s="40" t="s">
        <v>149</v>
      </c>
      <c r="K14" s="40"/>
      <c r="L14" s="40" t="s">
        <v>2356</v>
      </c>
      <c r="M14" s="41" t="s">
        <v>2506</v>
      </c>
      <c r="N14" s="41">
        <v>654321.0</v>
      </c>
      <c r="O14" s="41"/>
      <c r="P14" s="53" t="s">
        <v>2507</v>
      </c>
      <c r="Q14" s="43" t="s">
        <v>2508</v>
      </c>
      <c r="R14" s="44">
        <v>0.0</v>
      </c>
      <c r="S14" s="45" t="s">
        <v>67</v>
      </c>
      <c r="T14" s="45" t="s">
        <v>67</v>
      </c>
      <c r="U14" s="46">
        <v>1.0</v>
      </c>
      <c r="V14" s="45" t="s">
        <v>74</v>
      </c>
      <c r="W14" s="58" t="s">
        <v>2466</v>
      </c>
    </row>
  </sheetData>
  <dataValidations>
    <dataValidation type="list" allowBlank="1" showErrorMessage="1" sqref="J2:J14">
      <formula1>"CONTRATADO,DESISTIO,EN AGENCIA,PERSONAL DRE"</formula1>
    </dataValidation>
    <dataValidation type="list" allowBlank="1" showErrorMessage="1" sqref="K2:K14 S2:T14 V2:V14">
      <formula1>"SI,NO,DRE"</formula1>
    </dataValidation>
    <dataValidation type="list" allowBlank="1" showErrorMessage="1" sqref="O5:O14">
      <formula1>"Sí,No"</formula1>
    </dataValidation>
  </dataValidations>
  <drawing r:id="rId1"/>
  <tableParts count="1">
    <tablePart r:id="rId3"/>
  </tableParts>
</worksheet>
</file>